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hidePivotFieldList="1"/>
  <mc:AlternateContent xmlns:mc="http://schemas.openxmlformats.org/markup-compatibility/2006">
    <mc:Choice Requires="x15">
      <x15ac:absPath xmlns:x15ac="http://schemas.microsoft.com/office/spreadsheetml/2010/11/ac" url="D:\Excel\4-hour-course-xl-files\"/>
    </mc:Choice>
  </mc:AlternateContent>
  <xr:revisionPtr revIDLastSave="0" documentId="13_ncr:1_{FD29E8D9-CFEB-4741-ACC0-2C0E1F0A2E9F}" xr6:coauthVersionLast="47" xr6:coauthVersionMax="47" xr10:uidLastSave="{00000000-0000-0000-0000-000000000000}"/>
  <bookViews>
    <workbookView xWindow="-98" yWindow="-98" windowWidth="21795" windowHeight="12975" activeTab="2" xr2:uid="{26D4546B-D2A1-4444-8EAF-A6228F96F0C1}"/>
  </bookViews>
  <sheets>
    <sheet name="Data" sheetId="2" r:id="rId1"/>
    <sheet name="Assets" sheetId="4" r:id="rId2"/>
    <sheet name="Report" sheetId="5" r:id="rId3"/>
    <sheet name="Pivot" sheetId="6"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501" r:id="rId5"/>
    <pivotCache cacheId="502" r:id="rId6"/>
    <pivotCache cacheId="517" r:id="rId7"/>
    <pivotCache cacheId="540" r:id="rId8"/>
    <pivotCache cacheId="557" r:id="rId9"/>
    <pivotCache cacheId="656" r:id="rId10"/>
    <pivotCache cacheId="659" r:id="rId11"/>
    <pivotCache cacheId="662" r:id="rId12"/>
    <pivotCache cacheId="665" r:id="rId13"/>
  </pivotCaches>
  <fileRecoveryPr repairLoad="1"/>
  <extLst>
    <ext xmlns:x14="http://schemas.microsoft.com/office/spreadsheetml/2009/9/main" uri="{876F7934-8845-4945-9796-88D515C7AA90}">
      <x14:pivotCaches>
        <pivotCache cacheId="240"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7" i="5" l="1" a="1"/>
  <c r="N17" i="5" s="1"/>
  <c r="M18" i="5" a="1"/>
  <c r="M18" i="5" s="1"/>
  <c r="K55" i="6"/>
  <c r="K56" i="6"/>
  <c r="K57" i="6"/>
  <c r="K58" i="6"/>
  <c r="K54" i="6"/>
  <c r="J54" i="6" s="1"/>
  <c r="F54" i="6" a="1"/>
  <c r="F54"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55" i="6" l="1"/>
  <c r="J58" i="6"/>
  <c r="J57" i="6"/>
  <c r="I58" i="6"/>
  <c r="I57" i="6"/>
  <c r="I56" i="6"/>
  <c r="I55" i="6"/>
  <c r="I54" i="6"/>
  <c r="J5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39098F-6538-4E74-AAF1-DEF2C447A15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528BE63-7175-46E0-B9E6-906C38577521}"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2B251469-8268-4024-8E18-695DF4EA8B0A}"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<sst xmlns="http://schemas.openxmlformats.org/spreadsheetml/2006/main" count="3162" uniqueCount="1080">
  <si>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</si>
  <si>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</si>
  <si>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</si>
  <si>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</si>
  <si>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</si>
  <si>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</si>
  <si>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</si>
  <si>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</si>
  <si>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</si>
  <si>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</si>
  <si>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</si>
  <si>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</si>
  <si>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</si>
  <si>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</si>
  <si>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</si>
  <si>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</si>
  <si>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</si>
  <si>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</si>
  <si>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</si>
  <si>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</si>
  <si>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</si>
  <si>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</si>
  <si>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</si>
  <si>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</si>
  <si>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</si>
  <si>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</si>
  <si>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</si>
  <si>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</si>
  <si>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</si>
  <si>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</si>
  <si>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</si>
  <si>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</si>
  <si>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</si>
  <si>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</si>
  <si>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</si>
  <si>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</si>
  <si>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</si>
  <si>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</si>
  <si>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</si>
  <si>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</si>
  <si>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</si>
  <si>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</si>
  <si>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</si>
  <si>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</si>
  <si>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</si>
  <si>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</si>
  <si>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</si>
  <si>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</si>
  <si>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</si>
  <si>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</si>
  <si>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</si>
  <si>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</si>
  <si>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</si>
  <si>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</si>
  <si>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</si>
  <si>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</si>
  <si>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</si>
  <si>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</si>
  <si>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</si>
  <si>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</si>
  <si>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</si>
  <si>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</si>
  <si>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</si>
  <si>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</si>
  <si>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</si>
  <si>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</si>
  <si>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</si>
  <si>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</si>
  <si>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</si>
  <si>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</si>
  <si>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</si>
  <si>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</si>
  <si>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</si>
  <si>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</si>
  <si>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</si>
  <si>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</si>
  <si>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</si>
  <si>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</si>
  <si>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</si>
  <si>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</si>
  <si>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</si>
  <si>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</si>
  <si>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</si>
  <si>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</si>
  <si>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</si>
  <si>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</si>
  <si>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</si>
  <si>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</si>
  <si>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</si>
  <si>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</si>
  <si>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</si>
  <si>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</si>
  <si>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</si>
  <si>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</si>
  <si>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</si>
  <si>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</si>
  <si>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</si>
  <si>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</si>
  <si>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</si>
  <si>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</si>
  <si>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</si>
  <si>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</si>
  <si>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</si>
  <si>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</si>
  <si>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</si>
  <si>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</si>
  <si>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</si>
  <si>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</si>
  <si>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</si>
  <si>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</si>
  <si>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</si>
  <si>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</si>
  <si>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</si>
  <si>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</si>
  <si>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</si>
  <si>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</si>
  <si>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</si>
  <si>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</si>
  <si>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</si>
  <si>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</si>
  <si>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</si>
  <si>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</si>
  <si>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</si>
  <si>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</si>
  <si>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</si>
  <si>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</si>
  <si>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</si>
  <si>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</si>
  <si>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</si>
  <si>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</si>
  <si>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</si>
  <si>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</si>
  <si>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</si>
  <si>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</si>
  <si>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</si>
  <si>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</si>
  <si>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</si>
  <si>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</si>
  <si>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</si>
  <si>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</si>
  <si>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</si>
  <si>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</si>
  <si>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</si>
  <si>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</si>
  <si>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</si>
  <si>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</si>
  <si>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</si>
  <si>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</si>
  <si>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</si>
  <si>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</si>
  <si>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</si>
  <si>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</si>
  <si>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</si>
  <si>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</si>
  <si>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</si>
  <si>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</si>
  <si>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</si>
  <si>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</si>
  <si>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</si>
  <si>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</si>
  <si>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</si>
  <si>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</si>
  <si>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</si>
  <si>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</si>
  <si>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</si>
  <si>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</si>
  <si>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</si>
  <si>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</si>
  <si>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</si>
  <si>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</si>
  <si>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</si>
  <si>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</si>
  <si>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</si>
  <si>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</si>
  <si>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</si>
  <si>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</si>
  <si>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</si>
  <si>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</si>
  <si>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</si>
  <si>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</si>
  <si>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</si>
  <si>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</si>
  <si>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</si>
  <si>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</si>
  <si>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</si>
  <si>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</si>
  <si>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</si>
  <si>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</si>
  <si>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</si>
  <si>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</si>
  <si>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</si>
  <si>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</si>
  <si>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</si>
  <si>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</si>
  <si>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</si>
  <si>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</si>
  <si>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</si>
  <si>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</si>
  <si>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</si>
  <si>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</si>
  <si>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</si>
  <si>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</si>
  <si>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</si>
  <si>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</si>
  <si>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</si>
  <si>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</si>
  <si>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</si>
  <si>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</si>
  <si>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</si>
  <si>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</si>
  <si>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</si>
  <si>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</si>
  <si>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</si>
  <si>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</si>
  <si>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</si>
  <si>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</si>
  <si>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</si>
  <si>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</si>
  <si>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</si>
  <si>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</si>
  <si>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</si>
  <si>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</si>
  <si>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</si>
  <si>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</si>
  <si>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</si>
  <si>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</si>
  <si>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</si>
  <si>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</si>
  <si>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</si>
  <si>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</si>
  <si>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</si>
  <si>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</si>
  <si>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</si>
  <si>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</si>
  <si>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</si>
  <si>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</si>
  <si>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</si>
  <si>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</si>
  <si>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</si>
  <si>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</si>
  <si>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</si>
  <si>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</si>
  <si>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</si>
  <si>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</si>
  <si>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</si>
  <si>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</si>
  <si>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</si>
  <si>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</si>
  <si>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</si>
  <si>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</si>
  <si>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</si>
  <si>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</si>
  <si>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</si>
  <si>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</si>
  <si>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</si>
  <si>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</si>
  <si>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</si>
  <si>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</si>
  <si>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</si>
  <si>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</si>
  <si>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</si>
  <si>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</si>
  <si>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</si>
  <si>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</si>
  <si>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</si>
  <si>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</si>
  <si>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</si>
  <si>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</si>
  <si>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</si>
  <si>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</si>
  <si>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</si>
  <si>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</si>
  <si>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</si>
  <si>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</si>
  <si>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</si>
  <si>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</si>
  <si>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</si>
  <si>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</si>
  <si>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</si>
  <si>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</si>
  <si>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</si>
  <si>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</si>
  <si>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</si>
  <si>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</si>
  <si>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</si>
  <si>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</si>
  <si>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</si>
  <si>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</si>
  <si>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</si>
  <si>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</si>
  <si>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</si>
  <si>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</si>
  <si>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</si>
  <si>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</si>
  <si>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</si>
  <si>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</si>
  <si>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</si>
  <si>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</si>
  <si>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</si>
  <si>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</si>
  <si>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</si>
  <si>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</si>
  <si>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</si>
  <si>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</si>
  <si>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</si>
  <si>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</si>
  <si>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</si>
  <si>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</si>
  <si>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</si>
  <si>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</si>
  <si>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</si>
  <si>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</si>
  <si>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</si>
  <si>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</si>
  <si>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</si>
  <si>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</si>
  <si>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</si>
  <si>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</si>
  <si>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</si>
  <si>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</si>
  <si>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</si>
  <si>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</si>
  <si>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</si>
  <si>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</si>
  <si>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</si>
  <si>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</si>
  <si>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</si>
  <si>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</si>
  <si>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</si>
  <si>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</si>
  <si>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</si>
  <si>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</si>
  <si>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</si>
  <si>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</si>
  <si>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</si>
  <si>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</si>
  <si>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</si>
  <si>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</si>
  <si>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</si>
  <si>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</si>
  <si>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</si>
  <si>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</si>
  <si>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</si>
  <si>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</si>
  <si>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</si>
  <si>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</si>
  <si>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</si>
  <si>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</si>
  <si>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</si>
  <si>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</si>
  <si>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</si>
  <si>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</si>
  <si>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</si>
  <si>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</si>
  <si>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</si>
  <si>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</si>
  <si>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</si>
  <si>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</si>
  <si>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</si>
  <si>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</si>
  <si>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</si>
  <si>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</si>
  <si>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</si>
  <si>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</si>
  <si>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</si>
  <si>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</si>
  <si>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</si>
  <si>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</si>
  <si>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</si>
  <si>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</si>
  <si>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</si>
  <si>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</si>
  <si>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</si>
  <si>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</si>
  <si>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</si>
  <si>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</si>
  <si>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</si>
  <si>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</si>
  <si>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</si>
  <si>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</si>
  <si>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</si>
  <si>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</si>
  <si>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</si>
  <si>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</si>
  <si>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</si>
  <si>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</si>
  <si>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</si>
  <si>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</si>
  <si>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</si>
  <si>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</si>
  <si>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</si>
  <si>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</si>
  <si>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</si>
  <si>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</si>
  <si>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</si>
  <si>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</si>
  <si>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</si>
  <si>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</si>
  <si>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</si>
  <si>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</si>
  <si>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</si>
  <si>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</si>
  <si>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</si>
  <si>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</si>
  <si>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</si>
  <si>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</si>
  <si>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</si>
  <si>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</si>
  <si>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</si>
  <si>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</si>
  <si>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</si>
  <si>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</si>
  <si>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</si>
  <si>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</si>
  <si>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</si>
  <si>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</si>
  <si>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</si>
  <si>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</si>
  <si>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</si>
  <si>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</si>
  <si>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</si>
  <si>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</si>
  <si>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</si>
  <si>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</si>
  <si>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</si>
  <si>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</si>
  <si>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</si>
  <si>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</si>
  <si>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</si>
  <si>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</si>
  <si>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</si>
  <si>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</si>
  <si>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</si>
  <si>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</si>
  <si>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</si>
  <si>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</si>
  <si>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</si>
  <si>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</si>
  <si>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</si>
  <si>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</si>
  <si>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</si>
  <si>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</si>
  <si>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</si>
  <si>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</si>
  <si>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</si>
  <si>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</si>
  <si>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</si>
  <si>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</si>
  <si>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</si>
  <si>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</si>
  <si>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</si>
  <si>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</si>
  <si>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</si>
  <si>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</si>
  <si>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</si>
  <si>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</si>
  <si>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</si>
  <si>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</si>
  <si>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</si>
  <si>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</si>
  <si>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</si>
  <si>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</si>
  <si>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</si>
  <si>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</si>
  <si>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</si>
  <si>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</si>
  <si>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</si>
  <si>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</si>
  <si>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</si>
  <si>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</si>
  <si>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</si>
  <si>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</si>
  <si>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</si>
  <si>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</si>
  <si>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</si>
  <si>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</si>
  <si>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</si>
  <si>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</si>
  <si>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</si>
  <si>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</si>
  <si>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</si>
  <si>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</si>
  <si>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</si>
  <si>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</si>
  <si>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</si>
  <si>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</si>
  <si>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</si>
  <si>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</si>
  <si>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</si>
  <si>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</si>
  <si>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</si>
  <si>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</si>
  <si>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</si>
  <si>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</si>
  <si>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</si>
  <si>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</si>
  <si>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</si>
  <si>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</si>
  <si>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</si>
  <si>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</si>
  <si>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</si>
  <si>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</si>
  <si>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</si>
  <si>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</si>
  <si>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</si>
  <si>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</si>
  <si>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</si>
  <si>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</si>
  <si>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</si>
  <si>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</si>
  <si>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</si>
  <si>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</si>
  <si>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</si>
  <si>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</si>
  <si>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</si>
  <si>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</si>
  <si>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</si>
  <si>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</si>
  <si>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</si>
  <si>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</si>
  <si>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</si>
  <si>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</si>
  <si>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</si>
  <si>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</si>
  <si>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</si>
  <si>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</si>
  <si>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</si>
  <si>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</si>
  <si>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</si>
  <si>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</si>
  <si>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</si>
  <si>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</si>
  <si>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</si>
  <si>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</si>
  <si>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</si>
  <si>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</si>
  <si>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</si>
  <si>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</si>
  <si>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</si>
  <si>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</si>
  <si>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</si>
  <si>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</si>
  <si>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</si>
  <si>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</si>
  <si>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</si>
  <si>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</si>
  <si>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</si>
  <si>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</si>
  <si>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</si>
  <si>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</si>
  <si>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</si>
  <si>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</si>
  <si>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</si>
  <si>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</si>
  <si>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</si>
  <si>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</si>
  <si>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</si>
  <si>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</si>
  <si>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</si>
  <si>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</si>
  <si>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</si>
  <si>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</si>
  <si>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</si>
  <si>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</si>
  <si>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</si>
  <si>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</si>
  <si>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</si>
  <si>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</si>
  <si>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</si>
  <si>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</si>
  <si>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</si>
  <si>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</si>
  <si>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</si>
  <si>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</si>
  <si>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</si>
  <si>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</si>
  <si>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</si>
  <si>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</si>
  <si>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</si>
  <si>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</si>
  <si>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</si>
  <si>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</si>
  <si>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</si>
  <si>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</si>
  <si>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</si>
  <si>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</si>
  <si>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</si>
  <si>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</si>
  <si>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</si>
  <si>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</si>
  <si>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</si>
  <si>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</si>
  <si>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</si>
  <si>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</si>
  <si>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</si>
  <si>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</si>
  <si>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</si>
  <si>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</si>
  <si>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</si>
  <si>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</si>
  <si>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</si>
  <si>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</si>
  <si>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</si>
  <si>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</si>
  <si>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</si>
  <si>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</si>
  <si>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</si>
  <si>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</si>
  <si>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</si>
  <si>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</si>
  <si>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</si>
  <si>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</si>
  <si>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</si>
  <si>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</si>
  <si>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</si>
  <si>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</si>
  <si>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</si>
  <si>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</si>
  <si>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</si>
  <si>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</si>
  <si>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</si>
  <si>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</si>
  <si>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</si>
  <si>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</si>
  <si>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</si>
  <si>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</si>
  <si>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</si>
  <si>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</si>
  <si>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</si>
  <si>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</si>
  <si>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</si>
  <si>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</si>
  <si>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</si>
  <si>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</si>
  <si>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</si>
  <si>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</si>
  <si>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</si>
  <si>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</si>
  <si>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</si>
  <si>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</si>
  <si>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</si>
  <si>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</si>
  <si>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</si>
  <si>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</si>
  <si>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</si>
  <si>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</si>
  <si>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</si>
  <si>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</si>
  <si>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</si>
  <si>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</si>
  <si>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</si>
  <si>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</si>
  <si>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</si>
  <si>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</si>
  <si>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</si>
  <si>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</si>
  <si>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</si>
  <si>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</si>
  <si>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</si>
  <si>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</si>
  <si>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</si>
  <si>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</si>
  <si>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</si>
  <si>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</si>
  <si>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</si>
  <si>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</si>
  <si>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</si>
  <si>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</si>
  <si>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</si>
  <si>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</si>
  <si>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</si>
  <si>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</si>
  <si>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</si>
  <si>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</si>
  <si>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</si>
  <si>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</si>
  <si>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</si>
  <si>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</si>
  <si>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</si>
  <si>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</si>
  <si>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</si>
  <si>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</si>
  <si>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</si>
  <si>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</si>
  <si>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</si>
  <si>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</si>
  <si>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</si>
  <si>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</si>
  <si>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</si>
  <si>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</si>
  <si>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</si>
  <si>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</si>
  <si>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</si>
  <si>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</si>
  <si>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</si>
  <si>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</si>
  <si>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</si>
  <si>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</si>
  <si>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</si>
  <si>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</si>
  <si>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</si>
  <si>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</si>
  <si>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</si>
  <si>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</si>
  <si>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</si>
  <si>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</si>
  <si>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</si>
  <si>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</si>
  <si>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</si>
  <si>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</si>
  <si>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</si>
  <si>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</si>
  <si>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</si>
  <si>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</si>
  <si>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</si>
  <si>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</si>
  <si>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</si>
  <si>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</si>
  <si>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</si>
  <si>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</si>
  <si>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</si>
  <si>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</si>
  <si>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</si>
  <si>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</si>
  <si>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</si>
  <si>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</si>
  <si>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</si>
  <si>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</si>
  <si>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</si>
  <si>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</si>
  <si>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</si>
  <si>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</si>
  <si>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</si>
  <si>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</si>
  <si>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</si>
  <si>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</si>
  <si>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</si>
  <si>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</si>
  <si>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</si>
  <si>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</si>
  <si>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</si>
  <si>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</si>
  <si>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</si>
  <si>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</si>
  <si>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</si>
  <si>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</si>
  <si>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</si>
  <si>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</si>
  <si>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</si>
  <si>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</si>
  <si>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</si>
  <si>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</si>
  <si>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</si>
  <si>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</si>
  <si>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</si>
  <si>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</si>
  <si>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</si>
  <si>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</si>
  <si>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</si>
  <si>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</si>
  <si>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</si>
  <si>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</si>
  <si>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</si>
  <si>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</si>
  <si>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</si>
  <si>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</si>
  <si>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</si>
  <si>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</si>
  <si>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</si>
  <si>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</si>
  <si>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</si>
  <si>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</si>
  <si>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</si>
  <si>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</si>
  <si>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</si>
  <si>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</si>
  <si>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</si>
  <si>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</si>
  <si>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</si>
  <si>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</si>
  <si>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</si>
  <si>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</si>
  <si>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</si>
  <si>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</si>
  <si>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</si>
  <si>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</si>
  <si>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</si>
  <si>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</si>
  <si>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</si>
  <si>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</si>
  <si>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</si>
  <si>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</si>
  <si>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</si>
  <si>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</si>
  <si>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</si>
  <si>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</si>
  <si>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</si>
  <si>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</si>
  <si>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</si>
  <si>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</si>
  <si>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</si>
  <si>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</si>
  <si>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</si>
  <si>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</si>
  <si>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</si>
  <si>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</si>
  <si>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</si>
  <si>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</si>
  <si>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</si>
  <si>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</si>
  <si>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</si>
  <si>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</si>
  <si>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</si>
  <si>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</si>
  <si>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</si>
  <si>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</si>
  <si>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</si>
  <si>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</si>
  <si>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</si>
  <si>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</si>
  <si>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</si>
  <si>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</si>
  <si>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</si>
  <si>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</si>
  <si>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</si>
  <si>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</si>
  <si>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</si>
  <si>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</si>
  <si>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</si>
  <si>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</si>
  <si>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</si>
  <si>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</si>
  <si>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</si>
  <si>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</si>
  <si>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</si>
  <si>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</si>
  <si>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</si>
  <si>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</si>
  <si>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</si>
  <si>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</si>
  <si>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</si>
  <si>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</si>
  <si>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</si>
  <si>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</si>
  <si>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</si>
  <si>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</si>
  <si>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</si>
  <si>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</si>
  <si>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</si>
  <si>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</si>
  <si>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</si>
  <si>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</si>
  <si>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</si>
  <si>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</si>
  <si>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</si>
  <si>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</si>
  <si>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</si>
  <si>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</si>
  <si>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</si>
  <si>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</si>
  <si>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</si>
  <si>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</si>
  <si>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</si>
  <si>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</si>
  <si>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</si>
  <si>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</si>
  <si>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</si>
  <si>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</si>
  <si>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</si>
  <si>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</si>
  <si>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</si>
  <si>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</si>
  <si>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</si>
  <si>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</si>
  <si>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</si>
  <si>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</si>
  <si>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</si>
  <si>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</si>
  <si>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</si>
  <si>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</si>
  <si>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</si>
  <si>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</si>
  <si>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</si>
  <si>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</si>
  <si>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</si>
  <si>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</si>
  <si>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</si>
  <si>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</si>
  <si>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</si>
  <si>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</si>
  <si>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</si>
  <si>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</si>
  <si>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</si>
  <si>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</si>
  <si>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</si>
  <si>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</si>
  <si>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</si>
  <si>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</si>
  <si>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</si>
  <si>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</si>
  <si>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</si>
  <si>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</si>
  <si>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</si>
  <si>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</si>
  <si>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</si>
  <si>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</si>
  <si>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</si>
  <si>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</si>
  <si>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</si>
  <si>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</si>
  <si>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</si>
  <si>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</si>
  <si>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</si>
  <si>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</si>
  <si>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</si>
  <si>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</si>
  <si>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</si>
  <si>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</si>
  <si>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</si>
  <si>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</si>
  <si>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</si>
  <si>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</si>
  <si>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</si>
  <si>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</si>
  <si>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</si>
  <si>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</si>
  <si>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</si>
  <si>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</si>
  <si>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</si>
  <si>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</si>
  <si>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</si>
  <si>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</si>
  <si>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</si>
  <si>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</si>
  <si>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</si>
  <si>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</si>
  <si>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</si>
  <si>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</si>
  <si>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</si>
  <si>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</si>
  <si>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</si>
  <si>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</si>
  <si>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</si>
  <si>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</si>
  <si>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</si>
  <si>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</si>
  <si>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</si>
  <si>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</si>
  <si>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</si>
  <si>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</si>
  <si>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</si>
  <si>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</si>
  <si>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</si>
  <si>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</si>
  <si>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</si>
  <si>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</si>
  <si>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</si>
  <si>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</si>
  <si>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</si>
  <si>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</si>
  <si>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</si>
  <si>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</si>
  <si>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</si>
  <si>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</si>
  <si>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</si>
  <si>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</si>
  <si>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</si>
  <si>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</si>
  <si>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</si>
  <si>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</si>
  <si>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</si>
  <si>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</si>
  <si>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</si>
  <si>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</si>
  <si>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</si>
  <si>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</si>
  <si>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</si>
  <si>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</si>
  <si>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</si>
  <si>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</si>
  <si>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</si>
  <si>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</si>
  <si>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</si>
  <si>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</si>
  <si>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</si>
  <si>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</si>
  <si>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</si>
  <si>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</si>
  <si>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</si>
  <si>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</si>
  <si>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</si>
  <si>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</si>
  <si>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</si>
  <si>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</si>
  <si>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</si>
  <si>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</si>
  <si>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</si>
  <si>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</si>
  <si>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</si>
  <si>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</si>
  <si>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</si>
  <si>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</si>
  <si>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</si>
  <si>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</si>
  <si>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</si>
  <si>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</si>
  <si>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</si>
  <si>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</si>
  <si>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</si>
  <si>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</si>
  <si>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</si>
  <si>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</si>
  <si>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</si>
  <si>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</si>
  <si>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</si>
  <si>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</si>
  <si>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</si>
  <si>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</si>
  <si>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</si>
  <si>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</si>
  <si>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</si>
  <si>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</si>
  <si>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</si>
  <si>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</si>
  <si>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</si>
  <si>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</si>
  <si>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</si>
  <si>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</si>
  <si>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</si>
  <si>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</si>
  <si>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</si>
  <si>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</si>
  <si>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</si>
  <si>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</si>
  <si>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</si>
  <si>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</si>
  <si>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</si>
  <si>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</si>
  <si>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</si>
  <si>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</si>
  <si>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</si>
  <si>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</si>
  <si>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counts</t>
  </si>
  <si>
    <t>Total Amount</t>
  </si>
  <si>
    <t>Total Duration</t>
  </si>
  <si>
    <t>Avg. Rating</t>
  </si>
  <si>
    <t>5* Calls</t>
  </si>
  <si>
    <t>Grand Total</t>
  </si>
  <si>
    <t>Jan</t>
  </si>
  <si>
    <t>Feb</t>
  </si>
  <si>
    <t>Mar</t>
  </si>
  <si>
    <t>Apr</t>
  </si>
  <si>
    <t>May</t>
  </si>
  <si>
    <t>Jun</t>
  </si>
  <si>
    <t>Jul</t>
  </si>
  <si>
    <t>Aug</t>
  </si>
  <si>
    <t>Sep</t>
  </si>
  <si>
    <t>Oct</t>
  </si>
  <si>
    <t>Nov</t>
  </si>
  <si>
    <t>Dec</t>
  </si>
  <si>
    <t>Months</t>
  </si>
  <si>
    <t xml:space="preserve"> </t>
  </si>
  <si>
    <t>Friday</t>
  </si>
  <si>
    <t>Monday</t>
  </si>
  <si>
    <t>Saturday</t>
  </si>
  <si>
    <t>Sunday</t>
  </si>
  <si>
    <t>Thursday</t>
  </si>
  <si>
    <t>Tuesday</t>
  </si>
  <si>
    <t>Wednesday</t>
  </si>
  <si>
    <t>For graph</t>
  </si>
  <si>
    <t>Call Counts</t>
  </si>
  <si>
    <t>Sel. Calls</t>
  </si>
  <si>
    <t>Sel. Amount</t>
  </si>
  <si>
    <t>Selected Rep</t>
  </si>
  <si>
    <t>Rep</t>
  </si>
  <si>
    <t>Row Labels</t>
  </si>
  <si>
    <t>Count of Customer ID</t>
  </si>
  <si>
    <t>Column Labels</t>
  </si>
  <si>
    <t>Total</t>
  </si>
  <si>
    <t xml:space="preserve">     Call Centre Report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</si>
</sst>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5" formatCode="&quot;$&quot;#,##0_);\(&quot;$&quot;#,##0\)"/>
    <numFmt numFmtId="44" formatCode="_(&quot;$&quot;* #,##0.00_);_(&quot;$&quot;* \(#,##0.00\);_(&quot;$&quot;* &quot;-&quot;??_);_(@_)"/>
    <numFmt numFmtId="164" formatCode="[$-409]d\-mmm\-yy;@"/>
    <numFmt numFmtId="165" formatCode="\$#,##0;\(\$#,##0\);\$#,##0"/>
    <numFmt numFmtId="166" formatCode="0.0"/>
    <numFmt numFmtId="167" formatCode="&quot;$&quot;#,###.0,\k"/>
  </numFmts>
  <fonts count="7" x14ac:knownFonts="1">
    <font>
      <sz val="11"/>
      <color theme="1"/>
      <name val="Trebuchet MS"/>
      <family val="2"/>
      <scheme val="minor"/>
    </font>
    <font>
      <b/>
      <sz val="11"/>
      <color theme="1"/>
      <name val="Trebuchet MS"/>
      <family val="2"/>
      <scheme val="minor"/>
    </font>
    <font>
      <sz val="8"/>
      <name val="Trebuchet MS"/>
      <family val="2"/>
      <scheme val="minor"/>
    </font>
    <font>
      <sz val="18"/>
      <color theme="1"/>
      <name val="Aptos ExtraBold"/>
      <family val="2"/>
    </font>
    <font>
      <sz val="11"/>
      <color theme="1"/>
      <name val="Trebuchet MS"/>
      <family val="2"/>
      <scheme val="minor"/>
    </font>
    <font>
      <sz val="10"/>
      <color theme="1"/>
      <name val="Trebuchet MS"/>
      <family val="2"/>
      <scheme val="minor"/>
    </font>
    <font>
      <sz val="16"/>
      <color theme="1"/>
      <name val="Trebuchet MS"/>
      <family val="2"/>
      <scheme val="min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s>
  <cellStyleXfs count="2">
    <xf numFmtId="0" fontId="0" fillId="0" borderId="0"/>
    <xf numFmtId="44" fontId="4" fillId="0" borderId="0" applyFont="0" applyFill="0" applyBorder="0" applyAlignment="0" applyProtection="0"/>
  </cellStyleXfs>
  <cellXfs count="4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3" borderId="0" xfId="0" applyFill="1"/>
    <xf numFmtId="0" fontId="0" fillId="0" borderId="0" xfId="0" applyAlignment="1">
      <alignment horizontal="left"/>
    </xf>
    <xf numFmtId="167" fontId="0" fillId="0" borderId="0" xfId="1" applyNumberFormat="1" applyFont="1"/>
    <xf numFmtId="0" fontId="0" fillId="0" borderId="0" xfId="0" applyFont="1"/>
    <xf numFmtId="167" fontId="0" fillId="0" borderId="0" xfId="0" applyNumberFormat="1"/>
    <xf numFmtId="0" fontId="0" fillId="0" borderId="0" xfId="0" applyNumberFormat="1"/>
    <xf numFmtId="0" fontId="0" fillId="0" borderId="0" xfId="0" applyAlignment="1">
      <alignment horizontal="left" indent="1"/>
    </xf>
    <xf numFmtId="0" fontId="5" fillId="3" borderId="9" xfId="0" applyFont="1" applyFill="1" applyBorder="1" applyAlignment="1">
      <alignment vertical="center"/>
    </xf>
    <xf numFmtId="0" fontId="5" fillId="3" borderId="10" xfId="0" applyFont="1" applyFill="1" applyBorder="1" applyAlignment="1">
      <alignment horizontal="center" vertical="center"/>
    </xf>
    <xf numFmtId="0" fontId="5" fillId="3" borderId="7" xfId="0" applyFont="1" applyFill="1" applyBorder="1" applyAlignment="1">
      <alignment vertical="center"/>
    </xf>
    <xf numFmtId="0" fontId="5" fillId="3" borderId="11" xfId="0" applyFont="1" applyFill="1" applyBorder="1" applyAlignment="1">
      <alignment vertical="center"/>
    </xf>
    <xf numFmtId="5" fontId="5" fillId="3" borderId="0" xfId="1" applyNumberFormat="1" applyFont="1" applyFill="1" applyBorder="1" applyAlignment="1">
      <alignment vertical="center"/>
    </xf>
    <xf numFmtId="5" fontId="5" fillId="3" borderId="13" xfId="1" applyNumberFormat="1" applyFont="1" applyFill="1" applyBorder="1" applyAlignment="1">
      <alignment vertical="center"/>
    </xf>
    <xf numFmtId="0" fontId="5" fillId="3" borderId="11" xfId="0" applyFont="1" applyFill="1" applyBorder="1" applyAlignment="1">
      <alignment horizontal="center" vertical="center"/>
    </xf>
    <xf numFmtId="0" fontId="5" fillId="3" borderId="6" xfId="0" applyFont="1" applyFill="1" applyBorder="1" applyAlignment="1">
      <alignment horizontal="center" vertical="center"/>
    </xf>
    <xf numFmtId="5" fontId="5" fillId="3" borderId="12" xfId="1" applyNumberFormat="1" applyFont="1" applyFill="1" applyBorder="1" applyAlignment="1">
      <alignment vertical="center"/>
    </xf>
    <xf numFmtId="5" fontId="5" fillId="3" borderId="4" xfId="1" applyNumberFormat="1" applyFont="1" applyFill="1" applyBorder="1" applyAlignment="1">
      <alignment vertical="center"/>
    </xf>
    <xf numFmtId="0" fontId="6" fillId="4" borderId="0" xfId="0" applyFont="1" applyFill="1" applyAlignment="1">
      <alignment horizontal="left"/>
    </xf>
  </cellXfs>
  <cellStyles count="2">
    <cellStyle name="Currency" xfId="1" builtinId="4"/>
    <cellStyle name="Normal" xfId="0" builtinId="0"/>
  </cellStyles>
  <dxfs count="22">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Trebuchet M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1"/>
    </tableStyle>
  </tableStyles>
  <colors>
    <mruColors>
      <color rgb="FFFF9900"/>
      <color rgb="FFF6A400"/>
      <color rgb="FFFFBF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[demo.xlsx]Pivot!Monthly Trend</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a:t>
            </a:r>
            <a:r>
              <a:rPr lang="en-US" baseline="0"/>
              <a:t> trends over months</a:t>
            </a:r>
          </a:p>
        </c:rich>
      </c:tx>
      <c:layout>
        <c:manualLayout>
          <c:xMode val="edge"/>
          <c:yMode val="edge"/>
          <c:x val="4.5923447069116385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Pivot!$B$21</c:f>
              <c:strCache>
                <c:ptCount val="1"/>
                <c:pt idx="0">
                  <c:v>Total</c:v>
                </c:pt>
              </c:strCache>
            </c:strRef>
          </c:tx>
          <c:spPr>
            <a:ln w="28575" cap="rnd">
              <a:solidFill>
                <a:schemeClr val="accent1"/>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Pivot!$B$22:$B$34</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0-3533-4025-8FAE-86DD67283847}"/>
            </c:ext>
          </c:extLst>
        </c:ser>
        <c:dLbls>
          <c:showLegendKey val="0"/>
          <c:showVal val="0"/>
          <c:showCatName val="0"/>
          <c:showSerName val="0"/>
          <c:showPercent val="0"/>
          <c:showBubbleSize val="0"/>
        </c:dLbls>
        <c:marker val="1"/>
        <c:smooth val="0"/>
        <c:axId val="1989528112"/>
        <c:axId val="588175520"/>
      </c:lineChart>
      <c:catAx>
        <c:axId val="198952811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175520"/>
        <c:crosses val="autoZero"/>
        <c:auto val="1"/>
        <c:lblAlgn val="ctr"/>
        <c:lblOffset val="100"/>
        <c:noMultiLvlLbl val="0"/>
      </c:catAx>
      <c:valAx>
        <c:axId val="58817552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28112"/>
        <c:crosses val="autoZero"/>
        <c:crossBetween val="between"/>
      </c:valAx>
      <c:spPr>
        <a:noFill/>
        <a:ln>
          <a:solidFill>
            <a:schemeClr val="bg1"/>
          </a:solidFill>
        </a:ln>
        <a:effectLst>
          <a:outerShdw blurRad="12700" dist="50800" dir="5400000" algn="ctr" rotWithShape="0">
            <a:srgbClr val="000000">
              <a:alpha val="43137"/>
            </a:srgb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[demo.xlsx]Pivot!Weekday Trend</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Pivot!$A$40:$A$47</c:f>
              <c:strCache>
                <c:ptCount val="7"/>
                <c:pt idx="0">
                  <c:v>Sunday</c:v>
                </c:pt>
                <c:pt idx="1">
                  <c:v>Monday</c:v>
                </c:pt>
                <c:pt idx="2">
                  <c:v>Tuesday</c:v>
                </c:pt>
                <c:pt idx="3">
                  <c:v>Wednesday</c:v>
                </c:pt>
                <c:pt idx="4">
                  <c:v>Thursday</c:v>
                </c:pt>
                <c:pt idx="5">
                  <c:v>Friday</c:v>
                </c:pt>
                <c:pt idx="6">
                  <c:v>Saturday</c:v>
                </c:pt>
              </c:strCache>
            </c:strRef>
          </c:cat>
          <c:val>
            <c:numRef>
              <c:f>Pivot!$B$40:$B$47</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F56A-42DF-B8B6-B2132C04B290}"/>
            </c:ext>
          </c:extLst>
        </c:ser>
        <c:dLbls>
          <c:dLblPos val="inEnd"/>
          <c:showLegendKey val="0"/>
          <c:showVal val="1"/>
          <c:showCatName val="0"/>
          <c:showSerName val="0"/>
          <c:showPercent val="0"/>
          <c:showBubbleSize val="0"/>
        </c:dLbls>
        <c:gapWidth val="182"/>
        <c:axId val="591460384"/>
        <c:axId val="731233408"/>
      </c:barChart>
      <c:catAx>
        <c:axId val="59146038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233408"/>
        <c:crosses val="autoZero"/>
        <c:auto val="1"/>
        <c:lblAlgn val="ctr"/>
        <c:lblOffset val="100"/>
        <c:noMultiLvlLbl val="0"/>
      </c:catAx>
      <c:valAx>
        <c:axId val="731233408"/>
        <c:scaling>
          <c:orientation val="minMax"/>
        </c:scaling>
        <c:delete val="1"/>
        <c:axPos val="b"/>
        <c:numFmt formatCode="#,##0" sourceLinked="1"/>
        <c:majorTickMark val="out"/>
        <c:minorTickMark val="none"/>
        <c:tickLblPos val="nextTo"/>
        <c:crossAx val="59146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a:t>
            </a:r>
            <a:r>
              <a:rPr lang="en-US" baseline="0"/>
              <a:t> Counts</a:t>
            </a:r>
            <a:endParaRPr lang="en-US"/>
          </a:p>
        </c:rich>
      </c:tx>
      <c:layout>
        <c:manualLayout>
          <c:xMode val="edge"/>
          <c:yMode val="edge"/>
          <c:x val="4.260212637744135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Pivot!$F$54:$F$58</c:f>
              <c:strCache>
                <c:ptCount val="5"/>
                <c:pt idx="0">
                  <c:v>R01</c:v>
                </c:pt>
                <c:pt idx="1">
                  <c:v>R02</c:v>
                </c:pt>
                <c:pt idx="2">
                  <c:v>R03</c:v>
                </c:pt>
                <c:pt idx="3">
                  <c:v>R04</c:v>
                </c:pt>
                <c:pt idx="4">
                  <c:v>R05</c:v>
                </c:pt>
              </c:strCache>
            </c:strRef>
          </c:cat>
          <c:val>
            <c:numRef>
              <c:f>Pivot!$G$54:$G$58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FAB-4BF1-ADFF-513D11EE342F}"/>
            </c:ext>
          </c:extLst>
        </c:ser>
        <c:ser>
          <c:idx val="1"/>
          <c:order val="1"/>
          <c:tx>
            <c:v>selected col</c:v>
          </c:tx>
          <c:spPr>
            <a:solidFill>
              <a:schemeClr val="accent2"/>
            </a:solidFill>
            <a:ln>
              <a:noFill/>
            </a:ln>
            <a:effectLst/>
          </c:spPr>
          <c:invertIfNegative val="0"/>
          <c:val>
            <c:numRef>
              <c:f>Pivot!$I$54:$I$58</c:f>
              <c:numCache>
                <c:formatCode>#,##0</c:formatCode>
                <c:ptCount val="5"/>
                <c:pt idx="0">
                  <c:v>189</c:v>
                </c:pt>
                <c:pt idx="1">
                  <c:v>#N/A</c:v>
                </c:pt>
                <c:pt idx="2">
                  <c:v>#N/A</c:v>
                </c:pt>
                <c:pt idx="3">
                  <c:v>#N/A</c:v>
                </c:pt>
                <c:pt idx="4">
                  <c:v>#N/A</c:v>
                </c:pt>
              </c:numCache>
            </c:numRef>
          </c:val>
          <c:extLst>
            <c:ext xmlns:c16="http://schemas.microsoft.com/office/drawing/2014/chart" uri="{C3380CC4-5D6E-409C-BE32-E72D297353CC}">
              <c16:uniqueId val="{00000001-EFAB-4BF1-ADFF-513D11EE342F}"/>
            </c:ext>
          </c:extLst>
        </c:ser>
        <c:dLbls>
          <c:showLegendKey val="0"/>
          <c:showVal val="0"/>
          <c:showCatName val="0"/>
          <c:showSerName val="0"/>
          <c:showPercent val="0"/>
          <c:showBubbleSize val="0"/>
        </c:dLbls>
        <c:gapWidth val="50"/>
        <c:overlap val="100"/>
        <c:axId val="12510336"/>
        <c:axId val="12511776"/>
      </c:barChart>
      <c:catAx>
        <c:axId val="125103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1776"/>
        <c:crosses val="autoZero"/>
        <c:auto val="1"/>
        <c:lblAlgn val="ctr"/>
        <c:lblOffset val="100"/>
        <c:noMultiLvlLbl val="0"/>
      </c:catAx>
      <c:valAx>
        <c:axId val="12511776"/>
        <c:scaling>
          <c:orientation val="minMax"/>
        </c:scaling>
        <c:delete val="1"/>
        <c:axPos val="t"/>
        <c:numFmt formatCode="General" sourceLinked="1"/>
        <c:majorTickMark val="none"/>
        <c:minorTickMark val="none"/>
        <c:tickLblPos val="nextTo"/>
        <c:crossAx val="1251033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Amount</a:t>
            </a:r>
          </a:p>
        </c:rich>
      </c:tx>
      <c:layout>
        <c:manualLayout>
          <c:xMode val="edge"/>
          <c:yMode val="edge"/>
          <c:x val="4.260212637744135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Pivot!$F$54:$F$58</c:f>
              <c:strCache>
                <c:ptCount val="5"/>
                <c:pt idx="0">
                  <c:v>R01</c:v>
                </c:pt>
                <c:pt idx="1">
                  <c:v>R02</c:v>
                </c:pt>
                <c:pt idx="2">
                  <c:v>R03</c:v>
                </c:pt>
                <c:pt idx="3">
                  <c:v>R04</c:v>
                </c:pt>
                <c:pt idx="4">
                  <c:v>R05</c:v>
                </c:pt>
              </c:strCache>
            </c:strRef>
          </c:cat>
          <c:val>
            <c:numRef>
              <c:f>Pivot!$H$54:$H$58</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06B5-4EE7-A83C-D419D98579C6}"/>
            </c:ext>
          </c:extLst>
        </c:ser>
        <c:ser>
          <c:idx val="1"/>
          <c:order val="1"/>
          <c:tx>
            <c:v>selected col</c:v>
          </c:tx>
          <c:spPr>
            <a:solidFill>
              <a:schemeClr val="accent2"/>
            </a:solidFill>
            <a:ln>
              <a:noFill/>
            </a:ln>
            <a:effectLst/>
          </c:spPr>
          <c:invertIfNegative val="0"/>
          <c:val>
            <c:numRef>
              <c:f>Pivot!$J$54:$J$58</c:f>
              <c:numCache>
                <c:formatCode>"$"#,###.0,\k</c:formatCode>
                <c:ptCount val="5"/>
                <c:pt idx="0">
                  <c:v>18415</c:v>
                </c:pt>
                <c:pt idx="1">
                  <c:v>#N/A</c:v>
                </c:pt>
                <c:pt idx="2">
                  <c:v>#N/A</c:v>
                </c:pt>
                <c:pt idx="3">
                  <c:v>#N/A</c:v>
                </c:pt>
                <c:pt idx="4">
                  <c:v>#N/A</c:v>
                </c:pt>
              </c:numCache>
            </c:numRef>
          </c:val>
          <c:extLst>
            <c:ext xmlns:c16="http://schemas.microsoft.com/office/drawing/2014/chart" uri="{C3380CC4-5D6E-409C-BE32-E72D297353CC}">
              <c16:uniqueId val="{00000001-06B5-4EE7-A83C-D419D98579C6}"/>
            </c:ext>
          </c:extLst>
        </c:ser>
        <c:dLbls>
          <c:showLegendKey val="0"/>
          <c:showVal val="0"/>
          <c:showCatName val="0"/>
          <c:showSerName val="0"/>
          <c:showPercent val="0"/>
          <c:showBubbleSize val="0"/>
        </c:dLbls>
        <c:gapWidth val="50"/>
        <c:overlap val="100"/>
        <c:axId val="12510336"/>
        <c:axId val="12511776"/>
      </c:barChart>
      <c:catAx>
        <c:axId val="12510336"/>
        <c:scaling>
          <c:orientation val="maxMin"/>
        </c:scaling>
        <c:delete val="1"/>
        <c:axPos val="l"/>
        <c:numFmt formatCode="General" sourceLinked="1"/>
        <c:majorTickMark val="none"/>
        <c:minorTickMark val="none"/>
        <c:tickLblPos val="nextTo"/>
        <c:crossAx val="12511776"/>
        <c:crosses val="autoZero"/>
        <c:auto val="1"/>
        <c:lblAlgn val="ctr"/>
        <c:lblOffset val="100"/>
        <c:noMultiLvlLbl val="0"/>
      </c:catAx>
      <c:valAx>
        <c:axId val="12511776"/>
        <c:scaling>
          <c:orientation val="minMax"/>
        </c:scaling>
        <c:delete val="1"/>
        <c:axPos val="t"/>
        <c:numFmt formatCode="&quot;$&quot;#,###.0,\k" sourceLinked="1"/>
        <c:majorTickMark val="none"/>
        <c:minorTickMark val="none"/>
        <c:tickLblPos val="nextTo"/>
        <c:crossAx val="12510336"/>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[demo.xlsx]Pivot!Female vs Male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solidFill>
              </a:rPr>
              <a:t>Female</a:t>
            </a:r>
            <a:r>
              <a:rPr lang="en-US" baseline="0"/>
              <a:t> vs </a:t>
            </a:r>
            <a:r>
              <a:rPr lang="en-US" baseline="0">
                <a:solidFill>
                  <a:schemeClr val="accent1"/>
                </a:solidFill>
              </a:rPr>
              <a:t>Male</a:t>
            </a:r>
            <a:r>
              <a:rPr lang="en-US" baseline="0"/>
              <a:t> Callers</a:t>
            </a:r>
          </a:p>
        </c:rich>
      </c:tx>
      <c:layout>
        <c:manualLayout>
          <c:xMode val="edge"/>
          <c:yMode val="edge"/>
          <c:x val="4.0524267139236896E-2"/>
          <c:y val="3.89294361274801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Pivot!$M$2:$M$3</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Pivot!$L$4:$L$6</c:f>
              <c:strCache>
                <c:ptCount val="3"/>
                <c:pt idx="0">
                  <c:v>Cincinnati</c:v>
                </c:pt>
                <c:pt idx="1">
                  <c:v>Cleveland</c:v>
                </c:pt>
                <c:pt idx="2">
                  <c:v>Columbus</c:v>
                </c:pt>
              </c:strCache>
            </c:strRef>
          </c:cat>
          <c:val>
            <c:numRef>
              <c:f>Pivot!$M$4:$M$6</c:f>
              <c:numCache>
                <c:formatCode>General</c:formatCode>
                <c:ptCount val="3"/>
                <c:pt idx="0">
                  <c:v>144</c:v>
                </c:pt>
                <c:pt idx="1">
                  <c:v>326</c:v>
                </c:pt>
                <c:pt idx="2">
                  <c:v>129</c:v>
                </c:pt>
              </c:numCache>
            </c:numRef>
          </c:val>
          <c:extLst>
            <c:ext xmlns:c16="http://schemas.microsoft.com/office/drawing/2014/chart" uri="{C3380CC4-5D6E-409C-BE32-E72D297353CC}">
              <c16:uniqueId val="{00000000-A2B6-4CA5-A869-3B40D7E2C59A}"/>
            </c:ext>
          </c:extLst>
        </c:ser>
        <c:ser>
          <c:idx val="1"/>
          <c:order val="1"/>
          <c:tx>
            <c:strRef>
              <c:f>Pivot!$N$2:$N$3</c:f>
              <c:strCache>
                <c:ptCount val="1"/>
                <c:pt idx="0">
                  <c:v>Male</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Pivot!$L$4:$L$6</c:f>
              <c:strCache>
                <c:ptCount val="3"/>
                <c:pt idx="0">
                  <c:v>Cincinnati</c:v>
                </c:pt>
                <c:pt idx="1">
                  <c:v>Cleveland</c:v>
                </c:pt>
                <c:pt idx="2">
                  <c:v>Columbus</c:v>
                </c:pt>
              </c:strCache>
            </c:strRef>
          </c:cat>
          <c:val>
            <c:numRef>
              <c:f>Pivot!$N$4:$N$6</c:f>
              <c:numCache>
                <c:formatCode>General</c:formatCode>
                <c:ptCount val="3"/>
                <c:pt idx="0">
                  <c:v>132</c:v>
                </c:pt>
                <c:pt idx="1">
                  <c:v>63</c:v>
                </c:pt>
                <c:pt idx="2">
                  <c:v>206</c:v>
                </c:pt>
              </c:numCache>
            </c:numRef>
          </c:val>
          <c:extLst>
            <c:ext xmlns:c16="http://schemas.microsoft.com/office/drawing/2014/chart" uri="{C3380CC4-5D6E-409C-BE32-E72D297353CC}">
              <c16:uniqueId val="{00000001-A2B6-4CA5-A869-3B40D7E2C59A}"/>
            </c:ext>
          </c:extLst>
        </c:ser>
        <c:dLbls>
          <c:showLegendKey val="0"/>
          <c:showVal val="0"/>
          <c:showCatName val="0"/>
          <c:showSerName val="0"/>
          <c:showPercent val="0"/>
          <c:showBubbleSize val="0"/>
        </c:dLbls>
        <c:gapWidth val="150"/>
        <c:overlap val="100"/>
        <c:axId val="1343992192"/>
        <c:axId val="1344008032"/>
      </c:barChart>
      <c:catAx>
        <c:axId val="1343992192"/>
        <c:scaling>
          <c:orientation val="minMax"/>
        </c:scaling>
        <c:delete val="1"/>
        <c:axPos val="b"/>
        <c:numFmt formatCode="General" sourceLinked="1"/>
        <c:majorTickMark val="none"/>
        <c:minorTickMark val="none"/>
        <c:tickLblPos val="nextTo"/>
        <c:crossAx val="1344008032"/>
        <c:crosses val="autoZero"/>
        <c:auto val="1"/>
        <c:lblAlgn val="ctr"/>
        <c:lblOffset val="100"/>
        <c:noMultiLvlLbl val="0"/>
      </c:catAx>
      <c:valAx>
        <c:axId val="1344008032"/>
        <c:scaling>
          <c:orientation val="minMax"/>
        </c:scaling>
        <c:delete val="1"/>
        <c:axPos val="l"/>
        <c:numFmt formatCode="0%" sourceLinked="1"/>
        <c:majorTickMark val="none"/>
        <c:minorTickMark val="none"/>
        <c:tickLblPos val="nextTo"/>
        <c:crossAx val="1343992192"/>
        <c:crosses val="autoZero"/>
        <c:crossBetween val="between"/>
      </c:valAx>
      <c:spPr>
        <a:noFill/>
        <a:ln>
          <a:noFill/>
        </a:ln>
        <a:effectLst/>
      </c:spPr>
    </c:plotArea>
    <c:legend>
      <c:legendPos val="r"/>
      <c:layout>
        <c:manualLayout>
          <c:xMode val="edge"/>
          <c:yMode val="edge"/>
          <c:x val="0.72545236207030772"/>
          <c:y val="3.8203833476600065E-2"/>
          <c:w val="0.19615461485650498"/>
          <c:h val="0.126191803448824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[demo.xlsx]Pivot!Ratings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rPr>
              <a:t>Customer</a:t>
            </a:r>
            <a:r>
              <a:rPr lang="en-US" baseline="0">
                <a:solidFill>
                  <a:schemeClr val="accent1"/>
                </a:solidFill>
              </a:rPr>
              <a:t> Satisfaction</a:t>
            </a:r>
          </a:p>
        </c:rich>
      </c:tx>
      <c:layout>
        <c:manualLayout>
          <c:xMode val="edge"/>
          <c:yMode val="edge"/>
          <c:x val="0.17043726093864697"/>
          <c:y val="4.6454345590474962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Pivot!$A$81:$A$87</c:f>
              <c:strCache>
                <c:ptCount val="6"/>
                <c:pt idx="0">
                  <c:v>0</c:v>
                </c:pt>
                <c:pt idx="1">
                  <c:v>1</c:v>
                </c:pt>
                <c:pt idx="2">
                  <c:v>2</c:v>
                </c:pt>
                <c:pt idx="3">
                  <c:v>3</c:v>
                </c:pt>
                <c:pt idx="4">
                  <c:v>4</c:v>
                </c:pt>
                <c:pt idx="5">
                  <c:v>5</c:v>
                </c:pt>
              </c:strCache>
            </c:strRef>
          </c:cat>
          <c:val>
            <c:numRef>
              <c:f>Pivot!$B$81:$B$87</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3E10-4ADB-8391-7B56C296219B}"/>
            </c:ext>
          </c:extLst>
        </c:ser>
        <c:dLbls>
          <c:showLegendKey val="0"/>
          <c:showVal val="0"/>
          <c:showCatName val="0"/>
          <c:showSerName val="0"/>
          <c:showPercent val="0"/>
          <c:showBubbleSize val="0"/>
        </c:dLbls>
        <c:gapWidth val="219"/>
        <c:overlap val="-27"/>
        <c:axId val="1346287552"/>
        <c:axId val="1346297632"/>
      </c:barChart>
      <c:catAx>
        <c:axId val="1346287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297632"/>
        <c:crosses val="autoZero"/>
        <c:auto val="1"/>
        <c:lblAlgn val="ctr"/>
        <c:lblOffset val="100"/>
        <c:noMultiLvlLbl val="0"/>
      </c:catAx>
      <c:valAx>
        <c:axId val="1346297632"/>
        <c:scaling>
          <c:orientation val="minMax"/>
        </c:scaling>
        <c:delete val="1"/>
        <c:axPos val="l"/>
        <c:numFmt formatCode="#,##0" sourceLinked="1"/>
        <c:majorTickMark val="out"/>
        <c:minorTickMark val="none"/>
        <c:tickLblPos val="nextTo"/>
        <c:crossAx val="1346287552"/>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[demo.xlsx]Pivot!Monthly Trend</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a:t>
            </a:r>
            <a:r>
              <a:rPr lang="en-US" baseline="0"/>
              <a:t> trends over months</a:t>
            </a:r>
          </a:p>
        </c:rich>
      </c:tx>
      <c:layout>
        <c:manualLayout>
          <c:xMode val="edge"/>
          <c:yMode val="edge"/>
          <c:x val="4.5923447069116385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Pivot!$B$22:$B$34</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0-3D14-458D-9111-0783D4579CC9}"/>
            </c:ext>
          </c:extLst>
        </c:ser>
        <c:dLbls>
          <c:showLegendKey val="0"/>
          <c:showVal val="0"/>
          <c:showCatName val="0"/>
          <c:showSerName val="0"/>
          <c:showPercent val="0"/>
          <c:showBubbleSize val="0"/>
        </c:dLbls>
        <c:marker val="1"/>
        <c:smooth val="0"/>
        <c:axId val="1989528112"/>
        <c:axId val="588175520"/>
      </c:lineChart>
      <c:catAx>
        <c:axId val="1989528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175520"/>
        <c:crosses val="autoZero"/>
        <c:auto val="1"/>
        <c:lblAlgn val="ctr"/>
        <c:lblOffset val="100"/>
        <c:noMultiLvlLbl val="0"/>
      </c:catAx>
      <c:valAx>
        <c:axId val="58817552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2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[demo.xlsx]Pivot!Weekday Trend</c:name>
    <c:fmtId val="31"/>
  </c:pivotSource>
  <c:chart>
    <c:autoTitleDeleted val="1"/>
    <c:pivotFmts>
      <c:pivotFmt>
        <c:idx val="0"/>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Pivot!$B$39</c:f>
              <c:strCache>
                <c:ptCount val="1"/>
                <c:pt idx="0">
                  <c:v>Total</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Pivot!$A$40:$A$47</c:f>
              <c:strCache>
                <c:ptCount val="7"/>
                <c:pt idx="0">
                  <c:v>Sunday</c:v>
                </c:pt>
                <c:pt idx="1">
                  <c:v>Monday</c:v>
                </c:pt>
                <c:pt idx="2">
                  <c:v>Tuesday</c:v>
                </c:pt>
                <c:pt idx="3">
                  <c:v>Wednesday</c:v>
                </c:pt>
                <c:pt idx="4">
                  <c:v>Thursday</c:v>
                </c:pt>
                <c:pt idx="5">
                  <c:v>Friday</c:v>
                </c:pt>
                <c:pt idx="6">
                  <c:v>Saturday</c:v>
                </c:pt>
              </c:strCache>
            </c:strRef>
          </c:cat>
          <c:val>
            <c:numRef>
              <c:f>Pivot!$B$40:$B$47</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B1AA-4163-BF92-1DB8E1D953C9}"/>
            </c:ext>
          </c:extLst>
        </c:ser>
        <c:dLbls>
          <c:dLblPos val="inEnd"/>
          <c:showLegendKey val="0"/>
          <c:showVal val="1"/>
          <c:showCatName val="0"/>
          <c:showSerName val="0"/>
          <c:showPercent val="0"/>
          <c:showBubbleSize val="0"/>
        </c:dLbls>
        <c:gapWidth val="182"/>
        <c:axId val="591460384"/>
        <c:axId val="731233408"/>
      </c:barChart>
      <c:catAx>
        <c:axId val="59146038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233408"/>
        <c:crosses val="autoZero"/>
        <c:auto val="1"/>
        <c:lblAlgn val="ctr"/>
        <c:lblOffset val="100"/>
        <c:noMultiLvlLbl val="0"/>
      </c:catAx>
      <c:valAx>
        <c:axId val="731233408"/>
        <c:scaling>
          <c:orientation val="minMax"/>
        </c:scaling>
        <c:delete val="1"/>
        <c:axPos val="b"/>
        <c:numFmt formatCode="#,##0" sourceLinked="1"/>
        <c:majorTickMark val="out"/>
        <c:minorTickMark val="none"/>
        <c:tickLblPos val="nextTo"/>
        <c:crossAx val="59146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a:t>
            </a:r>
            <a:r>
              <a:rPr lang="en-US" baseline="0"/>
              <a:t> Counts</a:t>
            </a:r>
            <a:endParaRPr lang="en-US"/>
          </a:p>
        </c:rich>
      </c:tx>
      <c:layout>
        <c:manualLayout>
          <c:xMode val="edge"/>
          <c:yMode val="edge"/>
          <c:x val="4.260212637744135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Pivot!$F$54:$F$58</c:f>
              <c:strCache>
                <c:ptCount val="5"/>
                <c:pt idx="0">
                  <c:v>R01</c:v>
                </c:pt>
                <c:pt idx="1">
                  <c:v>R02</c:v>
                </c:pt>
                <c:pt idx="2">
                  <c:v>R03</c:v>
                </c:pt>
                <c:pt idx="3">
                  <c:v>R04</c:v>
                </c:pt>
                <c:pt idx="4">
                  <c:v>R05</c:v>
                </c:pt>
              </c:strCache>
            </c:strRef>
          </c:cat>
          <c:val>
            <c:numRef>
              <c:f>Pivot!$G$54:$G$58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59B-4775-B920-7DBCFB0AF5E0}"/>
            </c:ext>
          </c:extLst>
        </c:ser>
        <c:ser>
          <c:idx val="1"/>
          <c:order val="1"/>
          <c:tx>
            <c:v>selected col</c:v>
          </c:tx>
          <c:spPr>
            <a:solidFill>
              <a:schemeClr val="accent2"/>
            </a:solidFill>
            <a:ln>
              <a:noFill/>
            </a:ln>
            <a:effectLst/>
          </c:spPr>
          <c:invertIfNegative val="0"/>
          <c:val>
            <c:numRef>
              <c:f>Pivot!$I$54:$I$58</c:f>
              <c:numCache>
                <c:formatCode>#,##0</c:formatCode>
                <c:ptCount val="5"/>
                <c:pt idx="0">
                  <c:v>189</c:v>
                </c:pt>
                <c:pt idx="1">
                  <c:v>#N/A</c:v>
                </c:pt>
                <c:pt idx="2">
                  <c:v>#N/A</c:v>
                </c:pt>
                <c:pt idx="3">
                  <c:v>#N/A</c:v>
                </c:pt>
                <c:pt idx="4">
                  <c:v>#N/A</c:v>
                </c:pt>
              </c:numCache>
            </c:numRef>
          </c:val>
          <c:extLst>
            <c:ext xmlns:c16="http://schemas.microsoft.com/office/drawing/2014/chart" uri="{C3380CC4-5D6E-409C-BE32-E72D297353CC}">
              <c16:uniqueId val="{00000001-659B-4775-B920-7DBCFB0AF5E0}"/>
            </c:ext>
          </c:extLst>
        </c:ser>
        <c:dLbls>
          <c:showLegendKey val="0"/>
          <c:showVal val="0"/>
          <c:showCatName val="0"/>
          <c:showSerName val="0"/>
          <c:showPercent val="0"/>
          <c:showBubbleSize val="0"/>
        </c:dLbls>
        <c:gapWidth val="50"/>
        <c:overlap val="100"/>
        <c:axId val="12510336"/>
        <c:axId val="12511776"/>
      </c:barChart>
      <c:catAx>
        <c:axId val="125103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1776"/>
        <c:crosses val="autoZero"/>
        <c:auto val="1"/>
        <c:lblAlgn val="ctr"/>
        <c:lblOffset val="100"/>
        <c:noMultiLvlLbl val="0"/>
      </c:catAx>
      <c:valAx>
        <c:axId val="12511776"/>
        <c:scaling>
          <c:orientation val="minMax"/>
        </c:scaling>
        <c:delete val="1"/>
        <c:axPos val="t"/>
        <c:numFmt formatCode="General" sourceLinked="1"/>
        <c:majorTickMark val="none"/>
        <c:minorTickMark val="none"/>
        <c:tickLblPos val="nextTo"/>
        <c:crossAx val="12510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Amount</a:t>
            </a:r>
          </a:p>
        </c:rich>
      </c:tx>
      <c:layout>
        <c:manualLayout>
          <c:xMode val="edge"/>
          <c:yMode val="edge"/>
          <c:x val="4.260212637744135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Pivot!$F$54:$F$58</c:f>
              <c:strCache>
                <c:ptCount val="5"/>
                <c:pt idx="0">
                  <c:v>R01</c:v>
                </c:pt>
                <c:pt idx="1">
                  <c:v>R02</c:v>
                </c:pt>
                <c:pt idx="2">
                  <c:v>R03</c:v>
                </c:pt>
                <c:pt idx="3">
                  <c:v>R04</c:v>
                </c:pt>
                <c:pt idx="4">
                  <c:v>R05</c:v>
                </c:pt>
              </c:strCache>
            </c:strRef>
          </c:cat>
          <c:val>
            <c:numRef>
              <c:f>Pivot!$H$54:$H$58</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900-402F-904C-36E57B1E518B}"/>
            </c:ext>
          </c:extLst>
        </c:ser>
        <c:ser>
          <c:idx val="1"/>
          <c:order val="1"/>
          <c:tx>
            <c:v>selected col</c:v>
          </c:tx>
          <c:spPr>
            <a:solidFill>
              <a:schemeClr val="accent2"/>
            </a:solidFill>
            <a:ln>
              <a:noFill/>
            </a:ln>
            <a:effectLst/>
          </c:spPr>
          <c:invertIfNegative val="0"/>
          <c:val>
            <c:numRef>
              <c:f>Pivot!$J$54:$J$58</c:f>
              <c:numCache>
                <c:formatCode>"$"#,###.0,\k</c:formatCode>
                <c:ptCount val="5"/>
                <c:pt idx="0">
                  <c:v>18415</c:v>
                </c:pt>
                <c:pt idx="1">
                  <c:v>#N/A</c:v>
                </c:pt>
                <c:pt idx="2">
                  <c:v>#N/A</c:v>
                </c:pt>
                <c:pt idx="3">
                  <c:v>#N/A</c:v>
                </c:pt>
                <c:pt idx="4">
                  <c:v>#N/A</c:v>
                </c:pt>
              </c:numCache>
            </c:numRef>
          </c:val>
          <c:extLst>
            <c:ext xmlns:c16="http://schemas.microsoft.com/office/drawing/2014/chart" uri="{C3380CC4-5D6E-409C-BE32-E72D297353CC}">
              <c16:uniqueId val="{00000001-D900-402F-904C-36E57B1E518B}"/>
            </c:ext>
          </c:extLst>
        </c:ser>
        <c:dLbls>
          <c:showLegendKey val="0"/>
          <c:showVal val="0"/>
          <c:showCatName val="0"/>
          <c:showSerName val="0"/>
          <c:showPercent val="0"/>
          <c:showBubbleSize val="0"/>
        </c:dLbls>
        <c:gapWidth val="50"/>
        <c:overlap val="100"/>
        <c:axId val="12510336"/>
        <c:axId val="12511776"/>
      </c:barChart>
      <c:catAx>
        <c:axId val="12510336"/>
        <c:scaling>
          <c:orientation val="maxMin"/>
        </c:scaling>
        <c:delete val="1"/>
        <c:axPos val="l"/>
        <c:numFmt formatCode="General" sourceLinked="1"/>
        <c:majorTickMark val="none"/>
        <c:minorTickMark val="none"/>
        <c:tickLblPos val="nextTo"/>
        <c:crossAx val="12511776"/>
        <c:crosses val="autoZero"/>
        <c:auto val="1"/>
        <c:lblAlgn val="ctr"/>
        <c:lblOffset val="100"/>
        <c:noMultiLvlLbl val="0"/>
      </c:catAx>
      <c:valAx>
        <c:axId val="12511776"/>
        <c:scaling>
          <c:orientation val="minMax"/>
        </c:scaling>
        <c:delete val="1"/>
        <c:axPos val="t"/>
        <c:numFmt formatCode="&quot;$&quot;#,###.0,\k" sourceLinked="1"/>
        <c:majorTickMark val="none"/>
        <c:minorTickMark val="none"/>
        <c:tickLblPos val="nextTo"/>
        <c:crossAx val="12510336"/>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[demo.xlsx]Pivot!Female vs Male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solidFill>
              </a:rPr>
              <a:t>Female</a:t>
            </a:r>
            <a:r>
              <a:rPr lang="en-US" baseline="0"/>
              <a:t> vs </a:t>
            </a:r>
            <a:r>
              <a:rPr lang="en-US" baseline="0">
                <a:solidFill>
                  <a:schemeClr val="accent1"/>
                </a:solidFill>
              </a:rPr>
              <a:t>Male</a:t>
            </a:r>
            <a:r>
              <a:rPr lang="en-US" baseline="0"/>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Pivot!$M$2:$M$3</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Pivot!$L$4:$L$6</c:f>
              <c:strCache>
                <c:ptCount val="3"/>
                <c:pt idx="0">
                  <c:v>Cincinnati</c:v>
                </c:pt>
                <c:pt idx="1">
                  <c:v>Cleveland</c:v>
                </c:pt>
                <c:pt idx="2">
                  <c:v>Columbus</c:v>
                </c:pt>
              </c:strCache>
            </c:strRef>
          </c:cat>
          <c:val>
            <c:numRef>
              <c:f>Pivot!$M$4:$M$6</c:f>
              <c:numCache>
                <c:formatCode>General</c:formatCode>
                <c:ptCount val="3"/>
                <c:pt idx="0">
                  <c:v>144</c:v>
                </c:pt>
                <c:pt idx="1">
                  <c:v>326</c:v>
                </c:pt>
                <c:pt idx="2">
                  <c:v>129</c:v>
                </c:pt>
              </c:numCache>
            </c:numRef>
          </c:val>
          <c:extLst>
            <c:ext xmlns:c16="http://schemas.microsoft.com/office/drawing/2014/chart" uri="{C3380CC4-5D6E-409C-BE32-E72D297353CC}">
              <c16:uniqueId val="{00000000-E611-4D9D-B212-9FFFC2C4B043}"/>
            </c:ext>
          </c:extLst>
        </c:ser>
        <c:ser>
          <c:idx val="1"/>
          <c:order val="1"/>
          <c:tx>
            <c:strRef>
              <c:f>Pivot!$N$2:$N$3</c:f>
              <c:strCache>
                <c:ptCount val="1"/>
                <c:pt idx="0">
                  <c:v>Male</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Pivot!$L$4:$L$6</c:f>
              <c:strCache>
                <c:ptCount val="3"/>
                <c:pt idx="0">
                  <c:v>Cincinnati</c:v>
                </c:pt>
                <c:pt idx="1">
                  <c:v>Cleveland</c:v>
                </c:pt>
                <c:pt idx="2">
                  <c:v>Columbus</c:v>
                </c:pt>
              </c:strCache>
            </c:strRef>
          </c:cat>
          <c:val>
            <c:numRef>
              <c:f>Pivot!$N$4:$N$6</c:f>
              <c:numCache>
                <c:formatCode>General</c:formatCode>
                <c:ptCount val="3"/>
                <c:pt idx="0">
                  <c:v>132</c:v>
                </c:pt>
                <c:pt idx="1">
                  <c:v>63</c:v>
                </c:pt>
                <c:pt idx="2">
                  <c:v>206</c:v>
                </c:pt>
              </c:numCache>
            </c:numRef>
          </c:val>
          <c:extLst>
            <c:ext xmlns:c16="http://schemas.microsoft.com/office/drawing/2014/chart" uri="{C3380CC4-5D6E-409C-BE32-E72D297353CC}">
              <c16:uniqueId val="{00000001-E611-4D9D-B212-9FFFC2C4B043}"/>
            </c:ext>
          </c:extLst>
        </c:ser>
        <c:dLbls>
          <c:showLegendKey val="0"/>
          <c:showVal val="0"/>
          <c:showCatName val="0"/>
          <c:showSerName val="0"/>
          <c:showPercent val="0"/>
          <c:showBubbleSize val="0"/>
        </c:dLbls>
        <c:gapWidth val="150"/>
        <c:overlap val="100"/>
        <c:axId val="1343992192"/>
        <c:axId val="1344008032"/>
      </c:barChart>
      <c:catAx>
        <c:axId val="1343992192"/>
        <c:scaling>
          <c:orientation val="minMax"/>
        </c:scaling>
        <c:delete val="1"/>
        <c:axPos val="b"/>
        <c:numFmt formatCode="General" sourceLinked="1"/>
        <c:majorTickMark val="none"/>
        <c:minorTickMark val="none"/>
        <c:tickLblPos val="nextTo"/>
        <c:crossAx val="1344008032"/>
        <c:crosses val="autoZero"/>
        <c:auto val="1"/>
        <c:lblAlgn val="ctr"/>
        <c:lblOffset val="100"/>
        <c:noMultiLvlLbl val="0"/>
      </c:catAx>
      <c:valAx>
        <c:axId val="1344008032"/>
        <c:scaling>
          <c:orientation val="minMax"/>
        </c:scaling>
        <c:delete val="1"/>
        <c:axPos val="l"/>
        <c:numFmt formatCode="0%" sourceLinked="1"/>
        <c:majorTickMark val="none"/>
        <c:minorTickMark val="none"/>
        <c:tickLblPos val="nextTo"/>
        <c:crossAx val="1343992192"/>
        <c:crosses val="autoZero"/>
        <c:crossBetween val="between"/>
      </c:valAx>
      <c:spPr>
        <a:noFill/>
        <a:ln>
          <a:noFill/>
        </a:ln>
        <a:effectLst/>
      </c:spPr>
    </c:plotArea>
    <c:legend>
      <c:legendPos val="r"/>
      <c:layout>
        <c:manualLayout>
          <c:xMode val="edge"/>
          <c:yMode val="edge"/>
          <c:x val="0.78109711286089245"/>
          <c:y val="4.9326698745990119E-2"/>
          <c:w val="0.13194930763158896"/>
          <c:h val="0.181805283630938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[demo.xlsx]Pivot!Ratings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rPr>
              <a:t>Customer</a:t>
            </a:r>
            <a:r>
              <a:rPr lang="en-US" baseline="0">
                <a:solidFill>
                  <a:schemeClr val="accent1"/>
                </a:solidFill>
              </a:rPr>
              <a:t> Satisfaction</a:t>
            </a:r>
          </a:p>
        </c:rich>
      </c:tx>
      <c:layout>
        <c:manualLayout>
          <c:xMode val="edge"/>
          <c:yMode val="edge"/>
          <c:x val="0.3039860017497813"/>
          <c:y val="4.1666666666666664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Pivot!$A$81:$A$87</c:f>
              <c:strCache>
                <c:ptCount val="6"/>
                <c:pt idx="0">
                  <c:v>0</c:v>
                </c:pt>
                <c:pt idx="1">
                  <c:v>1</c:v>
                </c:pt>
                <c:pt idx="2">
                  <c:v>2</c:v>
                </c:pt>
                <c:pt idx="3">
                  <c:v>3</c:v>
                </c:pt>
                <c:pt idx="4">
                  <c:v>4</c:v>
                </c:pt>
                <c:pt idx="5">
                  <c:v>5</c:v>
                </c:pt>
              </c:strCache>
            </c:strRef>
          </c:cat>
          <c:val>
            <c:numRef>
              <c:f>Pivot!$B$81:$B$87</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E0E1-4D61-9F20-D0EA74235DCE}"/>
            </c:ext>
          </c:extLst>
        </c:ser>
        <c:dLbls>
          <c:showLegendKey val="0"/>
          <c:showVal val="0"/>
          <c:showCatName val="0"/>
          <c:showSerName val="0"/>
          <c:showPercent val="0"/>
          <c:showBubbleSize val="0"/>
        </c:dLbls>
        <c:gapWidth val="219"/>
        <c:overlap val="-27"/>
        <c:axId val="1346287552"/>
        <c:axId val="1346297632"/>
      </c:barChart>
      <c:catAx>
        <c:axId val="1346287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297632"/>
        <c:crosses val="autoZero"/>
        <c:auto val="1"/>
        <c:lblAlgn val="ctr"/>
        <c:lblOffset val="100"/>
        <c:noMultiLvlLbl val="0"/>
      </c:catAx>
      <c:valAx>
        <c:axId val="1346297632"/>
        <c:scaling>
          <c:orientation val="minMax"/>
        </c:scaling>
        <c:delete val="1"/>
        <c:axPos val="l"/>
        <c:numFmt formatCode="#,##0" sourceLinked="1"/>
        <c:majorTickMark val="out"/>
        <c:minorTickMark val="none"/>
        <c:tickLblPos val="nextTo"/>
        <c:crossAx val="1346287552"/>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0</xdr:col>
      <xdr:colOff>646043</xdr:colOff>
      <xdr:row>10</xdr:row>
      <xdr:rowOff>128594</xdr:rowOff>
    </xdr:from>
    <xdr:to>
      <xdr:col>1</xdr:col>
      <xdr:colOff>409650</xdr:colOff>
      <xdr:row>12</xdr:row>
      <xdr:rowOff>157244</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46043" y="2654790"/>
          <a:ext cx="409650" cy="393084"/>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333375</xdr:colOff>
      <xdr:row>2</xdr:row>
      <xdr:rowOff>176212</xdr:rowOff>
    </xdr:from>
    <xdr:to>
      <xdr:col>3</xdr:col>
      <xdr:colOff>47625</xdr:colOff>
      <xdr:row>8</xdr:row>
      <xdr:rowOff>176213</xdr:rowOff>
    </xdr:to>
    <xdr:sp macro="" textlink="">
      <xdr:nvSpPr>
        <xdr:cNvPr id="2" name="Rectangle 1">
          <a:extLst>
            <a:ext uri="{FF2B5EF4-FFF2-40B4-BE49-F238E27FC236}">
              <a16:creationId xmlns:a16="http://schemas.microsoft.com/office/drawing/2014/main" id="{221E95FC-D318-46D1-1F0C-24DF203A4B69}"/>
            </a:ext>
          </a:extLst>
        </xdr:cNvPr>
        <xdr:cNvSpPr/>
      </xdr:nvSpPr>
      <xdr:spPr>
        <a:xfrm>
          <a:off x="333375" y="1000125"/>
          <a:ext cx="1657350" cy="1085851"/>
        </a:xfrm>
        <a:prstGeom prst="rect">
          <a:avLst/>
        </a:prstGeom>
        <a:solidFill>
          <a:schemeClr val="bg2"/>
        </a:solidFill>
        <a:ln>
          <a:solidFill>
            <a:schemeClr val="bg2"/>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447676</xdr:colOff>
      <xdr:row>4</xdr:row>
      <xdr:rowOff>38099</xdr:rowOff>
    </xdr:from>
    <xdr:to>
      <xdr:col>2</xdr:col>
      <xdr:colOff>590551</xdr:colOff>
      <xdr:row>5</xdr:row>
      <xdr:rowOff>138111</xdr:rowOff>
    </xdr:to>
    <xdr:sp macro="" textlink="">
      <xdr:nvSpPr>
        <xdr:cNvPr id="3" name="Rectangle 2">
          <a:extLst>
            <a:ext uri="{FF2B5EF4-FFF2-40B4-BE49-F238E27FC236}">
              <a16:creationId xmlns:a16="http://schemas.microsoft.com/office/drawing/2014/main" id="{8AAB4272-433E-D7CD-616B-5ED7E2C17078}"/>
            </a:ext>
          </a:extLst>
        </xdr:cNvPr>
        <xdr:cNvSpPr/>
      </xdr:nvSpPr>
      <xdr:spPr>
        <a:xfrm>
          <a:off x="447676" y="581024"/>
          <a:ext cx="1438275" cy="280987"/>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latin typeface="Aptos Narrow" panose="020B0004020202020204" pitchFamily="34" charset="0"/>
            </a:rPr>
            <a:t>Calls</a:t>
          </a:r>
        </a:p>
        <a:p>
          <a:pPr algn="l"/>
          <a:endParaRPr lang="en-US" sz="1100">
            <a:solidFill>
              <a:schemeClr val="tx1"/>
            </a:solidFill>
          </a:endParaRPr>
        </a:p>
      </xdr:txBody>
    </xdr:sp>
    <xdr:clientData/>
  </xdr:twoCellAnchor>
  <xdr:twoCellAnchor>
    <xdr:from>
      <xdr:col>0</xdr:col>
      <xdr:colOff>585789</xdr:colOff>
      <xdr:row>7</xdr:row>
      <xdr:rowOff>38101</xdr:rowOff>
    </xdr:from>
    <xdr:to>
      <xdr:col>2</xdr:col>
      <xdr:colOff>357188</xdr:colOff>
      <xdr:row>8</xdr:row>
      <xdr:rowOff>133350</xdr:rowOff>
    </xdr:to>
    <xdr:sp macro="" textlink="Pivot!$A$17">
      <xdr:nvSpPr>
        <xdr:cNvPr id="6" name="Rectangle 5">
          <a:extLst>
            <a:ext uri="{FF2B5EF4-FFF2-40B4-BE49-F238E27FC236}">
              <a16:creationId xmlns:a16="http://schemas.microsoft.com/office/drawing/2014/main" id="{51F32087-75AD-4E6F-A69D-8556F5CE7202}"/>
            </a:ext>
          </a:extLst>
        </xdr:cNvPr>
        <xdr:cNvSpPr/>
      </xdr:nvSpPr>
      <xdr:spPr>
        <a:xfrm>
          <a:off x="585789" y="1123951"/>
          <a:ext cx="1066799" cy="27622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D4A25AD-36FA-423A-BAC1-E7044EA58754}" type="TxLink">
            <a:rPr lang="en-US" sz="1400" b="1" i="0" u="none" strike="noStrike">
              <a:solidFill>
                <a:srgbClr val="000000"/>
              </a:solidFill>
              <a:latin typeface="Aptos Narrow" panose="020B0004020202020204" pitchFamily="34" charset="0"/>
              <a:ea typeface="+mn-ea"/>
              <a:cs typeface="+mn-cs"/>
            </a:rPr>
            <a:pPr marL="0" indent="0" algn="ctr"/>
            <a:t>189</a:t>
          </a:fld>
          <a:endParaRPr lang="en-US" sz="1400" b="1">
            <a:solidFill>
              <a:schemeClr val="tx1"/>
            </a:solidFill>
            <a:latin typeface="Aptos Narrow" panose="020B0004020202020204" pitchFamily="34" charset="0"/>
            <a:ea typeface="+mn-ea"/>
            <a:cs typeface="+mn-cs"/>
          </a:endParaRPr>
        </a:p>
      </xdr:txBody>
    </xdr:sp>
    <xdr:clientData/>
  </xdr:twoCellAnchor>
  <xdr:twoCellAnchor>
    <xdr:from>
      <xdr:col>0</xdr:col>
      <xdr:colOff>414340</xdr:colOff>
      <xdr:row>5</xdr:row>
      <xdr:rowOff>76200</xdr:rowOff>
    </xdr:from>
    <xdr:to>
      <xdr:col>2</xdr:col>
      <xdr:colOff>557215</xdr:colOff>
      <xdr:row>7</xdr:row>
      <xdr:rowOff>119063</xdr:rowOff>
    </xdr:to>
    <xdr:sp macro="" textlink="Pivot!$A$4">
      <xdr:nvSpPr>
        <xdr:cNvPr id="4" name="Rectangle 3">
          <a:extLst>
            <a:ext uri="{FF2B5EF4-FFF2-40B4-BE49-F238E27FC236}">
              <a16:creationId xmlns:a16="http://schemas.microsoft.com/office/drawing/2014/main" id="{16F7C266-0046-48F1-B8E1-DC3291977846}"/>
            </a:ext>
          </a:extLst>
        </xdr:cNvPr>
        <xdr:cNvSpPr/>
      </xdr:nvSpPr>
      <xdr:spPr>
        <a:xfrm>
          <a:off x="414340" y="800100"/>
          <a:ext cx="1438275" cy="404813"/>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916D2CD6-93F5-4427-A316-71CC1F1310F7}" type="TxLink">
            <a:rPr lang="en-US" sz="2200" b="1">
              <a:solidFill>
                <a:schemeClr val="tx1"/>
              </a:solidFill>
              <a:latin typeface="Aptos Narrow" panose="020B0004020202020204" pitchFamily="34" charset="0"/>
              <a:ea typeface="+mn-ea"/>
              <a:cs typeface="+mn-cs"/>
            </a:rPr>
            <a:pPr marL="0" indent="0" algn="ctr"/>
            <a:t>1,000</a:t>
          </a:fld>
          <a:endParaRPr lang="en-US" sz="2200" b="1">
            <a:solidFill>
              <a:schemeClr val="tx1"/>
            </a:solidFill>
            <a:latin typeface="Aptos Narrow" panose="020B0004020202020204" pitchFamily="34" charset="0"/>
            <a:ea typeface="+mn-ea"/>
            <a:cs typeface="+mn-cs"/>
          </a:endParaRPr>
        </a:p>
      </xdr:txBody>
    </xdr:sp>
    <xdr:clientData/>
  </xdr:twoCellAnchor>
  <xdr:twoCellAnchor>
    <xdr:from>
      <xdr:col>0</xdr:col>
      <xdr:colOff>323850</xdr:colOff>
      <xdr:row>9</xdr:row>
      <xdr:rowOff>152399</xdr:rowOff>
    </xdr:from>
    <xdr:to>
      <xdr:col>3</xdr:col>
      <xdr:colOff>38100</xdr:colOff>
      <xdr:row>14</xdr:row>
      <xdr:rowOff>152400</xdr:rowOff>
    </xdr:to>
    <xdr:sp macro="" textlink="">
      <xdr:nvSpPr>
        <xdr:cNvPr id="7" name="Rectangle 6">
          <a:extLst>
            <a:ext uri="{FF2B5EF4-FFF2-40B4-BE49-F238E27FC236}">
              <a16:creationId xmlns:a16="http://schemas.microsoft.com/office/drawing/2014/main" id="{AC83FA34-3DE8-4E2F-B27D-201FB872A8E2}"/>
            </a:ext>
          </a:extLst>
        </xdr:cNvPr>
        <xdr:cNvSpPr/>
      </xdr:nvSpPr>
      <xdr:spPr>
        <a:xfrm>
          <a:off x="323850" y="2243137"/>
          <a:ext cx="1657350" cy="904876"/>
        </a:xfrm>
        <a:prstGeom prst="rect">
          <a:avLst/>
        </a:prstGeom>
        <a:solidFill>
          <a:schemeClr val="bg2"/>
        </a:solidFill>
        <a:ln>
          <a:solidFill>
            <a:schemeClr val="bg2"/>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438151</xdr:colOff>
      <xdr:row>10</xdr:row>
      <xdr:rowOff>14286</xdr:rowOff>
    </xdr:from>
    <xdr:to>
      <xdr:col>2</xdr:col>
      <xdr:colOff>581026</xdr:colOff>
      <xdr:row>11</xdr:row>
      <xdr:rowOff>114298</xdr:rowOff>
    </xdr:to>
    <xdr:sp macro="" textlink="">
      <xdr:nvSpPr>
        <xdr:cNvPr id="8" name="Rectangle 7">
          <a:extLst>
            <a:ext uri="{FF2B5EF4-FFF2-40B4-BE49-F238E27FC236}">
              <a16:creationId xmlns:a16="http://schemas.microsoft.com/office/drawing/2014/main" id="{EC42698C-880B-4495-93D6-A210B8755517}"/>
            </a:ext>
          </a:extLst>
        </xdr:cNvPr>
        <xdr:cNvSpPr/>
      </xdr:nvSpPr>
      <xdr:spPr>
        <a:xfrm>
          <a:off x="438151" y="1643061"/>
          <a:ext cx="1438275" cy="280987"/>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tx1"/>
              </a:solidFill>
              <a:latin typeface="Aptos Narrow" panose="020B0004020202020204" pitchFamily="34" charset="0"/>
              <a:ea typeface="+mn-ea"/>
              <a:cs typeface="+mn-cs"/>
            </a:rPr>
            <a:t>Amount</a:t>
          </a:r>
        </a:p>
        <a:p>
          <a:pPr marL="0" indent="0" algn="ctr"/>
          <a:endParaRPr lang="en-US" sz="1400" b="1">
            <a:solidFill>
              <a:schemeClr val="tx1"/>
            </a:solidFill>
            <a:latin typeface="Aptos Narrow" panose="020B0004020202020204" pitchFamily="34" charset="0"/>
            <a:ea typeface="+mn-ea"/>
            <a:cs typeface="+mn-cs"/>
          </a:endParaRPr>
        </a:p>
      </xdr:txBody>
    </xdr:sp>
    <xdr:clientData/>
  </xdr:twoCellAnchor>
  <xdr:twoCellAnchor>
    <xdr:from>
      <xdr:col>0</xdr:col>
      <xdr:colOff>576264</xdr:colOff>
      <xdr:row>13</xdr:row>
      <xdr:rowOff>9525</xdr:rowOff>
    </xdr:from>
    <xdr:to>
      <xdr:col>2</xdr:col>
      <xdr:colOff>347663</xdr:colOff>
      <xdr:row>14</xdr:row>
      <xdr:rowOff>104774</xdr:rowOff>
    </xdr:to>
    <xdr:sp macro="" textlink="Pivot!$B$17">
      <xdr:nvSpPr>
        <xdr:cNvPr id="10" name="Rectangle 9">
          <a:extLst>
            <a:ext uri="{FF2B5EF4-FFF2-40B4-BE49-F238E27FC236}">
              <a16:creationId xmlns:a16="http://schemas.microsoft.com/office/drawing/2014/main" id="{A5724AC2-A80D-4037-BB5B-591288EB16DA}"/>
            </a:ext>
          </a:extLst>
        </xdr:cNvPr>
        <xdr:cNvSpPr/>
      </xdr:nvSpPr>
      <xdr:spPr>
        <a:xfrm>
          <a:off x="576264" y="2181225"/>
          <a:ext cx="1066799" cy="27622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B113B7-E7BC-49EB-B6DE-88E22B157CC0}" type="TxLink">
            <a:rPr lang="en-US" sz="1400" b="1" i="0" u="none" strike="noStrike">
              <a:solidFill>
                <a:srgbClr val="000000"/>
              </a:solidFill>
              <a:latin typeface="Aptos Narrow" panose="020B0004020202020204" pitchFamily="34" charset="0"/>
            </a:rPr>
            <a:pPr algn="ctr"/>
            <a:t>$18,415</a:t>
          </a:fld>
          <a:endParaRPr lang="en-US" sz="1400" b="1">
            <a:solidFill>
              <a:schemeClr val="tx1"/>
            </a:solidFill>
            <a:latin typeface="Aptos Narrow" panose="020B0004020202020204" pitchFamily="34" charset="0"/>
          </a:endParaRPr>
        </a:p>
      </xdr:txBody>
    </xdr:sp>
    <xdr:clientData/>
  </xdr:twoCellAnchor>
  <xdr:twoCellAnchor>
    <xdr:from>
      <xdr:col>0</xdr:col>
      <xdr:colOff>404815</xdr:colOff>
      <xdr:row>11</xdr:row>
      <xdr:rowOff>52387</xdr:rowOff>
    </xdr:from>
    <xdr:to>
      <xdr:col>2</xdr:col>
      <xdr:colOff>547690</xdr:colOff>
      <xdr:row>13</xdr:row>
      <xdr:rowOff>95250</xdr:rowOff>
    </xdr:to>
    <xdr:sp macro="" textlink="Pivot!$B$4">
      <xdr:nvSpPr>
        <xdr:cNvPr id="11" name="Rectangle 10">
          <a:extLst>
            <a:ext uri="{FF2B5EF4-FFF2-40B4-BE49-F238E27FC236}">
              <a16:creationId xmlns:a16="http://schemas.microsoft.com/office/drawing/2014/main" id="{418DAFD6-1CB5-480E-A9BB-E5B1C42596EF}"/>
            </a:ext>
          </a:extLst>
        </xdr:cNvPr>
        <xdr:cNvSpPr/>
      </xdr:nvSpPr>
      <xdr:spPr>
        <a:xfrm>
          <a:off x="404815" y="1862137"/>
          <a:ext cx="1438275" cy="404813"/>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28B65AE-8E75-4C4C-9A09-D6B9872A2A2E}" type="TxLink">
            <a:rPr lang="en-US" sz="2200" b="1" i="0" u="none" strike="noStrike">
              <a:solidFill>
                <a:srgbClr val="000000"/>
              </a:solidFill>
              <a:latin typeface="Aptos Narrow" panose="020B0004020202020204" pitchFamily="34" charset="0"/>
            </a:rPr>
            <a:pPr algn="ctr"/>
            <a:t>$96,623</a:t>
          </a:fld>
          <a:endParaRPr lang="en-US" sz="2200" b="1">
            <a:solidFill>
              <a:schemeClr val="tx1"/>
            </a:solidFill>
            <a:latin typeface="Aptos Narrow" panose="020B0004020202020204" pitchFamily="34" charset="0"/>
          </a:endParaRPr>
        </a:p>
      </xdr:txBody>
    </xdr:sp>
    <xdr:clientData/>
  </xdr:twoCellAnchor>
  <xdr:twoCellAnchor>
    <xdr:from>
      <xdr:col>0</xdr:col>
      <xdr:colOff>309562</xdr:colOff>
      <xdr:row>15</xdr:row>
      <xdr:rowOff>119062</xdr:rowOff>
    </xdr:from>
    <xdr:to>
      <xdr:col>3</xdr:col>
      <xdr:colOff>23812</xdr:colOff>
      <xdr:row>20</xdr:row>
      <xdr:rowOff>119063</xdr:rowOff>
    </xdr:to>
    <xdr:sp macro="" textlink="">
      <xdr:nvSpPr>
        <xdr:cNvPr id="12" name="Rectangle 11">
          <a:extLst>
            <a:ext uri="{FF2B5EF4-FFF2-40B4-BE49-F238E27FC236}">
              <a16:creationId xmlns:a16="http://schemas.microsoft.com/office/drawing/2014/main" id="{FA9E3EAB-DDDE-4B5B-A12C-4C1D0256EB08}"/>
            </a:ext>
          </a:extLst>
        </xdr:cNvPr>
        <xdr:cNvSpPr/>
      </xdr:nvSpPr>
      <xdr:spPr>
        <a:xfrm>
          <a:off x="309562" y="3295650"/>
          <a:ext cx="1657350" cy="904876"/>
        </a:xfrm>
        <a:prstGeom prst="rect">
          <a:avLst/>
        </a:prstGeom>
        <a:solidFill>
          <a:schemeClr val="bg2"/>
        </a:solidFill>
        <a:ln>
          <a:solidFill>
            <a:schemeClr val="bg2"/>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423863</xdr:colOff>
      <xdr:row>15</xdr:row>
      <xdr:rowOff>161924</xdr:rowOff>
    </xdr:from>
    <xdr:to>
      <xdr:col>2</xdr:col>
      <xdr:colOff>566738</xdr:colOff>
      <xdr:row>17</xdr:row>
      <xdr:rowOff>80961</xdr:rowOff>
    </xdr:to>
    <xdr:sp macro="" textlink="">
      <xdr:nvSpPr>
        <xdr:cNvPr id="13" name="Rectangle 12">
          <a:extLst>
            <a:ext uri="{FF2B5EF4-FFF2-40B4-BE49-F238E27FC236}">
              <a16:creationId xmlns:a16="http://schemas.microsoft.com/office/drawing/2014/main" id="{36F99F9A-D973-46CF-BCCD-2C069524EB18}"/>
            </a:ext>
          </a:extLst>
        </xdr:cNvPr>
        <xdr:cNvSpPr/>
      </xdr:nvSpPr>
      <xdr:spPr>
        <a:xfrm>
          <a:off x="423863" y="2695574"/>
          <a:ext cx="1438275" cy="280987"/>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tx1"/>
              </a:solidFill>
              <a:latin typeface="Aptos Narrow" panose="020B0004020202020204" pitchFamily="34" charset="0"/>
              <a:ea typeface="+mn-ea"/>
              <a:cs typeface="+mn-cs"/>
            </a:rPr>
            <a:t>Duration</a:t>
          </a:r>
        </a:p>
        <a:p>
          <a:pPr marL="0" indent="0" algn="ctr"/>
          <a:endParaRPr lang="en-US" sz="1400" b="1">
            <a:solidFill>
              <a:schemeClr val="tx1"/>
            </a:solidFill>
            <a:latin typeface="Aptos Narrow" panose="020B0004020202020204" pitchFamily="34" charset="0"/>
            <a:ea typeface="+mn-ea"/>
            <a:cs typeface="+mn-cs"/>
          </a:endParaRPr>
        </a:p>
      </xdr:txBody>
    </xdr:sp>
    <xdr:clientData/>
  </xdr:twoCellAnchor>
  <xdr:twoCellAnchor>
    <xdr:from>
      <xdr:col>0</xdr:col>
      <xdr:colOff>566739</xdr:colOff>
      <xdr:row>18</xdr:row>
      <xdr:rowOff>166688</xdr:rowOff>
    </xdr:from>
    <xdr:to>
      <xdr:col>2</xdr:col>
      <xdr:colOff>338138</xdr:colOff>
      <xdr:row>20</xdr:row>
      <xdr:rowOff>80962</xdr:rowOff>
    </xdr:to>
    <xdr:sp macro="" textlink="Pivot!$C$17">
      <xdr:nvSpPr>
        <xdr:cNvPr id="15" name="Rectangle 14">
          <a:extLst>
            <a:ext uri="{FF2B5EF4-FFF2-40B4-BE49-F238E27FC236}">
              <a16:creationId xmlns:a16="http://schemas.microsoft.com/office/drawing/2014/main" id="{E9AFDBB8-74D9-4B5A-B6B7-66EAA09D1FC1}"/>
            </a:ext>
          </a:extLst>
        </xdr:cNvPr>
        <xdr:cNvSpPr/>
      </xdr:nvSpPr>
      <xdr:spPr>
        <a:xfrm>
          <a:off x="566739" y="3243263"/>
          <a:ext cx="1066799" cy="27622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4C148A-5662-4277-8CDD-FA52D8D87A5E}" type="TxLink">
            <a:rPr lang="en-US" sz="1400" b="1" i="0" u="none" strike="noStrike">
              <a:solidFill>
                <a:srgbClr val="000000"/>
              </a:solidFill>
              <a:latin typeface="Aptos Narrow" panose="020B0004020202020204" pitchFamily="34" charset="0"/>
            </a:rPr>
            <a:pPr algn="ctr"/>
            <a:t>16,834</a:t>
          </a:fld>
          <a:endParaRPr lang="en-US" sz="1400" b="1">
            <a:solidFill>
              <a:schemeClr val="tx1"/>
            </a:solidFill>
            <a:latin typeface="Aptos Narrow" panose="020B0004020202020204" pitchFamily="34" charset="0"/>
          </a:endParaRPr>
        </a:p>
      </xdr:txBody>
    </xdr:sp>
    <xdr:clientData/>
  </xdr:twoCellAnchor>
  <xdr:twoCellAnchor>
    <xdr:from>
      <xdr:col>0</xdr:col>
      <xdr:colOff>390527</xdr:colOff>
      <xdr:row>17</xdr:row>
      <xdr:rowOff>19050</xdr:rowOff>
    </xdr:from>
    <xdr:to>
      <xdr:col>2</xdr:col>
      <xdr:colOff>533402</xdr:colOff>
      <xdr:row>19</xdr:row>
      <xdr:rowOff>61913</xdr:rowOff>
    </xdr:to>
    <xdr:sp macro="" textlink="Pivot!$C$4">
      <xdr:nvSpPr>
        <xdr:cNvPr id="16" name="Rectangle 15">
          <a:extLst>
            <a:ext uri="{FF2B5EF4-FFF2-40B4-BE49-F238E27FC236}">
              <a16:creationId xmlns:a16="http://schemas.microsoft.com/office/drawing/2014/main" id="{70499392-C76E-4D42-ACDF-C4BA1A8F9D2C}"/>
            </a:ext>
          </a:extLst>
        </xdr:cNvPr>
        <xdr:cNvSpPr/>
      </xdr:nvSpPr>
      <xdr:spPr>
        <a:xfrm>
          <a:off x="390527" y="2914650"/>
          <a:ext cx="1438275" cy="404813"/>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B73447-8021-41EB-816F-2B7282E2CEA9}" type="TxLink">
            <a:rPr lang="en-US" sz="2200" b="1" i="0" u="none" strike="noStrike">
              <a:solidFill>
                <a:srgbClr val="000000"/>
              </a:solidFill>
              <a:latin typeface="Aptos Narrow" panose="020B0004020202020204" pitchFamily="34" charset="0"/>
            </a:rPr>
            <a:pPr algn="ctr"/>
            <a:t>89,850</a:t>
          </a:fld>
          <a:endParaRPr lang="en-US" sz="2200" b="1">
            <a:solidFill>
              <a:schemeClr val="tx1"/>
            </a:solidFill>
            <a:latin typeface="Aptos Narrow" panose="020B0004020202020204" pitchFamily="34" charset="0"/>
          </a:endParaRPr>
        </a:p>
      </xdr:txBody>
    </xdr:sp>
    <xdr:clientData/>
  </xdr:twoCellAnchor>
  <xdr:twoCellAnchor>
    <xdr:from>
      <xdr:col>0</xdr:col>
      <xdr:colOff>300037</xdr:colOff>
      <xdr:row>21</xdr:row>
      <xdr:rowOff>61912</xdr:rowOff>
    </xdr:from>
    <xdr:to>
      <xdr:col>3</xdr:col>
      <xdr:colOff>14287</xdr:colOff>
      <xdr:row>26</xdr:row>
      <xdr:rowOff>61913</xdr:rowOff>
    </xdr:to>
    <xdr:sp macro="" textlink="">
      <xdr:nvSpPr>
        <xdr:cNvPr id="17" name="Rectangle 16">
          <a:extLst>
            <a:ext uri="{FF2B5EF4-FFF2-40B4-BE49-F238E27FC236}">
              <a16:creationId xmlns:a16="http://schemas.microsoft.com/office/drawing/2014/main" id="{5958B953-6FB1-48A9-BD33-86856D650FE8}"/>
            </a:ext>
          </a:extLst>
        </xdr:cNvPr>
        <xdr:cNvSpPr/>
      </xdr:nvSpPr>
      <xdr:spPr>
        <a:xfrm>
          <a:off x="300037" y="4324350"/>
          <a:ext cx="1657350" cy="904876"/>
        </a:xfrm>
        <a:prstGeom prst="rect">
          <a:avLst/>
        </a:prstGeom>
        <a:solidFill>
          <a:schemeClr val="bg2"/>
        </a:solidFill>
        <a:ln>
          <a:solidFill>
            <a:schemeClr val="bg2"/>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414338</xdr:colOff>
      <xdr:row>21</xdr:row>
      <xdr:rowOff>104774</xdr:rowOff>
    </xdr:from>
    <xdr:to>
      <xdr:col>2</xdr:col>
      <xdr:colOff>557213</xdr:colOff>
      <xdr:row>23</xdr:row>
      <xdr:rowOff>23811</xdr:rowOff>
    </xdr:to>
    <xdr:sp macro="" textlink="">
      <xdr:nvSpPr>
        <xdr:cNvPr id="18" name="Rectangle 17">
          <a:extLst>
            <a:ext uri="{FF2B5EF4-FFF2-40B4-BE49-F238E27FC236}">
              <a16:creationId xmlns:a16="http://schemas.microsoft.com/office/drawing/2014/main" id="{CDA0CC8A-8A7E-4BD0-BB37-99705A33F668}"/>
            </a:ext>
          </a:extLst>
        </xdr:cNvPr>
        <xdr:cNvSpPr/>
      </xdr:nvSpPr>
      <xdr:spPr>
        <a:xfrm>
          <a:off x="414338" y="3724274"/>
          <a:ext cx="1438275" cy="280987"/>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latin typeface="Aptos Narrow" panose="020B0004020202020204" pitchFamily="34" charset="0"/>
            </a:rPr>
            <a:t>Avg. Rating</a:t>
          </a:r>
        </a:p>
        <a:p>
          <a:pPr algn="ctr"/>
          <a:endParaRPr lang="en-US" sz="1400" b="1">
            <a:solidFill>
              <a:schemeClr val="tx1"/>
            </a:solidFill>
            <a:latin typeface="Aptos Narrow" panose="020B0004020202020204" pitchFamily="34" charset="0"/>
          </a:endParaRPr>
        </a:p>
        <a:p>
          <a:pPr algn="l"/>
          <a:endParaRPr lang="en-US" sz="1100"/>
        </a:p>
      </xdr:txBody>
    </xdr:sp>
    <xdr:clientData/>
  </xdr:twoCellAnchor>
  <xdr:twoCellAnchor>
    <xdr:from>
      <xdr:col>0</xdr:col>
      <xdr:colOff>566738</xdr:colOff>
      <xdr:row>24</xdr:row>
      <xdr:rowOff>100013</xdr:rowOff>
    </xdr:from>
    <xdr:to>
      <xdr:col>2</xdr:col>
      <xdr:colOff>338137</xdr:colOff>
      <xdr:row>26</xdr:row>
      <xdr:rowOff>14287</xdr:rowOff>
    </xdr:to>
    <xdr:sp macro="" textlink="Pivot!$D$17">
      <xdr:nvSpPr>
        <xdr:cNvPr id="20" name="Rectangle 19">
          <a:extLst>
            <a:ext uri="{FF2B5EF4-FFF2-40B4-BE49-F238E27FC236}">
              <a16:creationId xmlns:a16="http://schemas.microsoft.com/office/drawing/2014/main" id="{C1AF2D9C-1A2E-428C-ADC8-1CA8761A6618}"/>
            </a:ext>
          </a:extLst>
        </xdr:cNvPr>
        <xdr:cNvSpPr/>
      </xdr:nvSpPr>
      <xdr:spPr>
        <a:xfrm>
          <a:off x="566738" y="4262438"/>
          <a:ext cx="1066799" cy="27622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25A729-1CA9-409E-93F3-83F17C7F454F}" type="TxLink">
            <a:rPr lang="en-US" sz="1400" b="1" i="0" u="none" strike="noStrike">
              <a:solidFill>
                <a:srgbClr val="000000"/>
              </a:solidFill>
              <a:latin typeface="Aptos Narrow" panose="020B0004020202020204" pitchFamily="34" charset="0"/>
            </a:rPr>
            <a:pPr algn="ctr"/>
            <a:t>3.9</a:t>
          </a:fld>
          <a:endParaRPr lang="en-US" sz="1400" b="1">
            <a:solidFill>
              <a:schemeClr val="tx1"/>
            </a:solidFill>
            <a:latin typeface="Aptos Narrow" panose="020B0004020202020204" pitchFamily="34" charset="0"/>
          </a:endParaRPr>
        </a:p>
      </xdr:txBody>
    </xdr:sp>
    <xdr:clientData/>
  </xdr:twoCellAnchor>
  <xdr:twoCellAnchor>
    <xdr:from>
      <xdr:col>0</xdr:col>
      <xdr:colOff>381002</xdr:colOff>
      <xdr:row>22</xdr:row>
      <xdr:rowOff>142875</xdr:rowOff>
    </xdr:from>
    <xdr:to>
      <xdr:col>2</xdr:col>
      <xdr:colOff>523877</xdr:colOff>
      <xdr:row>25</xdr:row>
      <xdr:rowOff>4763</xdr:rowOff>
    </xdr:to>
    <xdr:sp macro="" textlink="Pivot!$D$4">
      <xdr:nvSpPr>
        <xdr:cNvPr id="21" name="Rectangle 20">
          <a:extLst>
            <a:ext uri="{FF2B5EF4-FFF2-40B4-BE49-F238E27FC236}">
              <a16:creationId xmlns:a16="http://schemas.microsoft.com/office/drawing/2014/main" id="{8DFA7E6B-FF79-4135-9F65-0DBC7970026A}"/>
            </a:ext>
          </a:extLst>
        </xdr:cNvPr>
        <xdr:cNvSpPr/>
      </xdr:nvSpPr>
      <xdr:spPr>
        <a:xfrm>
          <a:off x="381002" y="3943350"/>
          <a:ext cx="1438275" cy="404813"/>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5BE7F3-7A0C-4E6A-A8BE-596D2C91BA32}" type="TxLink">
            <a:rPr lang="en-US" sz="2200" b="1" i="0" u="none" strike="noStrike">
              <a:solidFill>
                <a:srgbClr val="000000"/>
              </a:solidFill>
              <a:latin typeface="Aptos Narrow" panose="020B0004020202020204" pitchFamily="34" charset="0"/>
            </a:rPr>
            <a:pPr algn="ctr"/>
            <a:t>3.9</a:t>
          </a:fld>
          <a:endParaRPr lang="en-US" sz="2200" b="1">
            <a:solidFill>
              <a:schemeClr val="tx1"/>
            </a:solidFill>
            <a:latin typeface="Aptos Narrow" panose="020B0004020202020204" pitchFamily="34" charset="0"/>
          </a:endParaRPr>
        </a:p>
      </xdr:txBody>
    </xdr:sp>
    <xdr:clientData/>
  </xdr:twoCellAnchor>
  <xdr:twoCellAnchor>
    <xdr:from>
      <xdr:col>0</xdr:col>
      <xdr:colOff>300037</xdr:colOff>
      <xdr:row>26</xdr:row>
      <xdr:rowOff>176212</xdr:rowOff>
    </xdr:from>
    <xdr:to>
      <xdr:col>3</xdr:col>
      <xdr:colOff>14287</xdr:colOff>
      <xdr:row>31</xdr:row>
      <xdr:rowOff>176213</xdr:rowOff>
    </xdr:to>
    <xdr:sp macro="" textlink="">
      <xdr:nvSpPr>
        <xdr:cNvPr id="22" name="Rectangle 21">
          <a:extLst>
            <a:ext uri="{FF2B5EF4-FFF2-40B4-BE49-F238E27FC236}">
              <a16:creationId xmlns:a16="http://schemas.microsoft.com/office/drawing/2014/main" id="{144B8204-81E2-4986-A7A2-63247B4C5F7F}"/>
            </a:ext>
          </a:extLst>
        </xdr:cNvPr>
        <xdr:cNvSpPr/>
      </xdr:nvSpPr>
      <xdr:spPr>
        <a:xfrm>
          <a:off x="300037" y="5343525"/>
          <a:ext cx="1657350" cy="904876"/>
        </a:xfrm>
        <a:prstGeom prst="rect">
          <a:avLst/>
        </a:prstGeom>
        <a:solidFill>
          <a:schemeClr val="bg2"/>
        </a:solidFill>
        <a:ln>
          <a:solidFill>
            <a:schemeClr val="bg2"/>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414338</xdr:colOff>
      <xdr:row>27</xdr:row>
      <xdr:rowOff>38099</xdr:rowOff>
    </xdr:from>
    <xdr:to>
      <xdr:col>2</xdr:col>
      <xdr:colOff>557213</xdr:colOff>
      <xdr:row>29</xdr:row>
      <xdr:rowOff>28575</xdr:rowOff>
    </xdr:to>
    <xdr:sp macro="" textlink="">
      <xdr:nvSpPr>
        <xdr:cNvPr id="23" name="Rectangle 22">
          <a:extLst>
            <a:ext uri="{FF2B5EF4-FFF2-40B4-BE49-F238E27FC236}">
              <a16:creationId xmlns:a16="http://schemas.microsoft.com/office/drawing/2014/main" id="{882CAF94-0110-489E-9BCE-208964B0E2E6}"/>
            </a:ext>
          </a:extLst>
        </xdr:cNvPr>
        <xdr:cNvSpPr/>
      </xdr:nvSpPr>
      <xdr:spPr>
        <a:xfrm>
          <a:off x="414338" y="4743449"/>
          <a:ext cx="1438275" cy="352426"/>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latin typeface="Aptos Narrow" panose="020B0004020202020204" pitchFamily="34" charset="0"/>
            </a:rPr>
            <a:t>Happy Callers</a:t>
          </a:r>
          <a:endParaRPr lang="en-US" sz="1100" b="0">
            <a:solidFill>
              <a:schemeClr val="lt1"/>
            </a:solidFill>
            <a:latin typeface="+mn-lt"/>
          </a:endParaRPr>
        </a:p>
      </xdr:txBody>
    </xdr:sp>
    <xdr:clientData/>
  </xdr:twoCellAnchor>
  <xdr:twoCellAnchor>
    <xdr:from>
      <xdr:col>0</xdr:col>
      <xdr:colOff>533401</xdr:colOff>
      <xdr:row>30</xdr:row>
      <xdr:rowOff>80963</xdr:rowOff>
    </xdr:from>
    <xdr:to>
      <xdr:col>2</xdr:col>
      <xdr:colOff>304800</xdr:colOff>
      <xdr:row>31</xdr:row>
      <xdr:rowOff>176212</xdr:rowOff>
    </xdr:to>
    <xdr:sp macro="" textlink="Pivot!$E$17">
      <xdr:nvSpPr>
        <xdr:cNvPr id="25" name="Rectangle 24">
          <a:extLst>
            <a:ext uri="{FF2B5EF4-FFF2-40B4-BE49-F238E27FC236}">
              <a16:creationId xmlns:a16="http://schemas.microsoft.com/office/drawing/2014/main" id="{84D493B0-56F6-4AC2-ACBA-F68109D6E95F}"/>
            </a:ext>
          </a:extLst>
        </xdr:cNvPr>
        <xdr:cNvSpPr/>
      </xdr:nvSpPr>
      <xdr:spPr>
        <a:xfrm>
          <a:off x="533401" y="5329238"/>
          <a:ext cx="1066799" cy="27622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A36939-CA11-4576-8698-26CA3C670423}" type="TxLink">
            <a:rPr lang="en-US" sz="1100" b="1" i="0" u="none" strike="noStrike">
              <a:solidFill>
                <a:srgbClr val="000000"/>
              </a:solidFill>
              <a:latin typeface="Trebuchet MS"/>
            </a:rPr>
            <a:pPr algn="ctr"/>
            <a:t>60</a:t>
          </a:fld>
          <a:endParaRPr lang="en-US" sz="1400" b="1">
            <a:solidFill>
              <a:schemeClr val="tx1"/>
            </a:solidFill>
            <a:latin typeface="Aptos Narrow" panose="020B0004020202020204" pitchFamily="34" charset="0"/>
          </a:endParaRPr>
        </a:p>
      </xdr:txBody>
    </xdr:sp>
    <xdr:clientData/>
  </xdr:twoCellAnchor>
  <xdr:twoCellAnchor>
    <xdr:from>
      <xdr:col>0</xdr:col>
      <xdr:colOff>381002</xdr:colOff>
      <xdr:row>28</xdr:row>
      <xdr:rowOff>128588</xdr:rowOff>
    </xdr:from>
    <xdr:to>
      <xdr:col>2</xdr:col>
      <xdr:colOff>523877</xdr:colOff>
      <xdr:row>30</xdr:row>
      <xdr:rowOff>119063</xdr:rowOff>
    </xdr:to>
    <xdr:sp macro="" textlink="Pivot!$E$4">
      <xdr:nvSpPr>
        <xdr:cNvPr id="26" name="Rectangle 25">
          <a:extLst>
            <a:ext uri="{FF2B5EF4-FFF2-40B4-BE49-F238E27FC236}">
              <a16:creationId xmlns:a16="http://schemas.microsoft.com/office/drawing/2014/main" id="{80838166-5E51-4D36-BACF-3D3AAFBD0810}"/>
            </a:ext>
          </a:extLst>
        </xdr:cNvPr>
        <xdr:cNvSpPr/>
      </xdr:nvSpPr>
      <xdr:spPr>
        <a:xfrm>
          <a:off x="381002" y="5657851"/>
          <a:ext cx="1438275" cy="352425"/>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333E36-7F41-471B-8FE6-F1A54DDFD889}" type="TxLink">
            <a:rPr lang="en-US" sz="2200" b="1" i="0" u="none" strike="noStrike">
              <a:solidFill>
                <a:srgbClr val="000000"/>
              </a:solidFill>
              <a:latin typeface="Aptos Narrow" panose="020B0004020202020204" pitchFamily="34" charset="0"/>
            </a:rPr>
            <a:pPr algn="ctr"/>
            <a:t>307</a:t>
          </a:fld>
          <a:endParaRPr lang="en-US" sz="2200" b="1">
            <a:solidFill>
              <a:schemeClr val="tx1"/>
            </a:solidFill>
            <a:latin typeface="Aptos Narrow" panose="020B0004020202020204" pitchFamily="34" charset="0"/>
          </a:endParaRPr>
        </a:p>
      </xdr:txBody>
    </xdr:sp>
    <xdr:clientData/>
  </xdr:twoCellAnchor>
  <xdr:twoCellAnchor editAs="oneCell">
    <xdr:from>
      <xdr:col>13</xdr:col>
      <xdr:colOff>681038</xdr:colOff>
      <xdr:row>1</xdr:row>
      <xdr:rowOff>14287</xdr:rowOff>
    </xdr:from>
    <xdr:to>
      <xdr:col>17</xdr:col>
      <xdr:colOff>171451</xdr:colOff>
      <xdr:row>3</xdr:row>
      <xdr:rowOff>14286</xdr:rowOff>
    </xdr:to>
    <mc:AlternateContent xmlns:mc="http://schemas.openxmlformats.org/markup-compatibility/2006">
      <mc:Choice xmlns:a14="http://schemas.microsoft.com/office/drawing/2010/main" Requires="a14">
        <xdr:graphicFrame macro="">
          <xdr:nvGraphicFramePr>
            <xdr:cNvPr id="27" name="Representative1">
              <a:extLst>
                <a:ext uri="{FF2B5EF4-FFF2-40B4-BE49-F238E27FC236}">
                  <a16:creationId xmlns:a16="http://schemas.microsoft.com/office/drawing/2014/main" id="{4A24BC59-B521-44C9-ACA1-2CF414BEB002}"/>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epresentative1"/>
            </a:graphicData>
          </a:graphic>
        </xdr:graphicFrame>
      </mc:Choice>
      <mc:Fallback>
        <xdr:sp macro="" textlink="">
          <xdr:nvSpPr>
            <xdr:cNvPr id="0" name=""/>
            <xdr:cNvSpPr>
              <a:spLocks noTextEdit="1"/>
            </xdr:cNvSpPr>
          </xdr:nvSpPr>
          <xdr:spPr>
            <a:xfrm>
              <a:off x="9289257" y="389335"/>
              <a:ext cx="2538413" cy="357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190500</xdr:colOff>
      <xdr:row>3</xdr:row>
      <xdr:rowOff>9525</xdr:rowOff>
    </xdr:from>
    <xdr:to>
      <xdr:col>8</xdr:col>
      <xdr:colOff>128588</xdr:colOff>
      <xdr:row>14</xdr:row>
      <xdr:rowOff>161926</xdr:rowOff>
    </xdr:to>
    <xdr:graphicFrame macro="">
      <xdr:nvGraphicFramePr>
        <xdr:cNvPr id="29" name="Chart 28">
          <a:extLst>
            <a:ext uri="{FF2B5EF4-FFF2-40B4-BE49-F238E27FC236}">
              <a16:creationId xmlns:a16="http://schemas.microsoft.com/office/drawing/2014/main" id="{4A2DFC76-D8E3-4D21-9A58-B14223B6E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238125</xdr:colOff>
      <xdr:row>3</xdr:row>
      <xdr:rowOff>28575</xdr:rowOff>
    </xdr:from>
    <xdr:to>
      <xdr:col>11</xdr:col>
      <xdr:colOff>466725</xdr:colOff>
      <xdr:row>14</xdr:row>
      <xdr:rowOff>176213</xdr:rowOff>
    </xdr:to>
    <xdr:graphicFrame macro="">
      <xdr:nvGraphicFramePr>
        <xdr:cNvPr id="30" name="Chart 29">
          <a:extLst>
            <a:ext uri="{FF2B5EF4-FFF2-40B4-BE49-F238E27FC236}">
              <a16:creationId xmlns:a16="http://schemas.microsoft.com/office/drawing/2014/main" id="{F2D043EA-31A0-47BD-A71D-3D4A2FC16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157162</xdr:colOff>
      <xdr:row>15</xdr:row>
      <xdr:rowOff>150017</xdr:rowOff>
    </xdr:from>
    <xdr:to>
      <xdr:col>7</xdr:col>
      <xdr:colOff>352425</xdr:colOff>
      <xdr:row>35</xdr:row>
      <xdr:rowOff>14286</xdr:rowOff>
    </xdr:to>
    <xdr:graphicFrame macro="">
      <xdr:nvGraphicFramePr>
        <xdr:cNvPr id="5" name="Chart 4">
          <a:extLst>
            <a:ext uri="{FF2B5EF4-FFF2-40B4-BE49-F238E27FC236}">
              <a16:creationId xmlns:a16="http://schemas.microsoft.com/office/drawing/2014/main" id="{0DF1F5C7-B85C-482A-BAB4-3A34769B7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376238</xdr:colOff>
      <xdr:row>15</xdr:row>
      <xdr:rowOff>171449</xdr:rowOff>
    </xdr:from>
    <xdr:to>
      <xdr:col>11</xdr:col>
      <xdr:colOff>481013</xdr:colOff>
      <xdr:row>34</xdr:row>
      <xdr:rowOff>171450</xdr:rowOff>
    </xdr:to>
    <xdr:graphicFrame macro="">
      <xdr:nvGraphicFramePr>
        <xdr:cNvPr id="9" name="Chart 8">
          <a:extLst>
            <a:ext uri="{FF2B5EF4-FFF2-40B4-BE49-F238E27FC236}">
              <a16:creationId xmlns:a16="http://schemas.microsoft.com/office/drawing/2014/main" id="{BB0F3BDE-6A75-469E-A209-7E8EEF91D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3</xdr:row>
      <xdr:rowOff>42862</xdr:rowOff>
    </xdr:from>
    <xdr:to>
      <xdr:col>15</xdr:col>
      <xdr:colOff>485776</xdr:colOff>
      <xdr:row>14</xdr:row>
      <xdr:rowOff>176214</xdr:rowOff>
    </xdr:to>
    <xdr:graphicFrame macro="">
      <xdr:nvGraphicFramePr>
        <xdr:cNvPr id="14" name="Chart 13">
          <a:extLst>
            <a:ext uri="{FF2B5EF4-FFF2-40B4-BE49-F238E27FC236}">
              <a16:creationId xmlns:a16="http://schemas.microsoft.com/office/drawing/2014/main" id="{B698D1D5-45E9-445F-9CFB-E8CDAC6BF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600074</xdr:colOff>
      <xdr:row>3</xdr:row>
      <xdr:rowOff>47625</xdr:rowOff>
    </xdr:from>
    <xdr:to>
      <xdr:col>19</xdr:col>
      <xdr:colOff>9525</xdr:colOff>
      <xdr:row>14</xdr:row>
      <xdr:rowOff>161925</xdr:rowOff>
    </xdr:to>
    <xdr:graphicFrame macro="">
      <xdr:nvGraphicFramePr>
        <xdr:cNvPr id="19" name="Chart 18">
          <a:extLst>
            <a:ext uri="{FF2B5EF4-FFF2-40B4-BE49-F238E27FC236}">
              <a16:creationId xmlns:a16="http://schemas.microsoft.com/office/drawing/2014/main" id="{872FDD36-A44A-4A9C-8149-B51B0E725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4764</xdr:rowOff>
    </xdr:from>
    <xdr:to>
      <xdr:col>8</xdr:col>
      <xdr:colOff>128587</xdr:colOff>
      <xdr:row>12</xdr:row>
      <xdr:rowOff>9526</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B848ABB3-F605-ED49-BC6A-4ABC1D500222}"/>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957763" y="366714"/>
              <a:ext cx="1781175" cy="1814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45243</xdr:colOff>
      <xdr:row>18</xdr:row>
      <xdr:rowOff>73818</xdr:rowOff>
    </xdr:from>
    <xdr:to>
      <xdr:col>11</xdr:col>
      <xdr:colOff>183355</xdr:colOff>
      <xdr:row>33</xdr:row>
      <xdr:rowOff>102393</xdr:rowOff>
    </xdr:to>
    <xdr:graphicFrame macro="">
      <xdr:nvGraphicFramePr>
        <xdr:cNvPr id="4" name="Chart 3">
          <a:extLst>
            <a:ext uri="{FF2B5EF4-FFF2-40B4-BE49-F238E27FC236}">
              <a16:creationId xmlns:a16="http://schemas.microsoft.com/office/drawing/2014/main" id="{E72C4FB6-1572-9FA2-DE64-A02B76C61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88104</xdr:colOff>
      <xdr:row>35</xdr:row>
      <xdr:rowOff>135731</xdr:rowOff>
    </xdr:from>
    <xdr:to>
      <xdr:col>10</xdr:col>
      <xdr:colOff>142874</xdr:colOff>
      <xdr:row>48</xdr:row>
      <xdr:rowOff>157163</xdr:rowOff>
    </xdr:to>
    <xdr:graphicFrame macro="">
      <xdr:nvGraphicFramePr>
        <xdr:cNvPr id="5" name="Chart 4">
          <a:extLst>
            <a:ext uri="{FF2B5EF4-FFF2-40B4-BE49-F238E27FC236}">
              <a16:creationId xmlns:a16="http://schemas.microsoft.com/office/drawing/2014/main" id="{6E71AC3F-832B-8E0F-543E-12CCB8696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30956</xdr:colOff>
      <xdr:row>59</xdr:row>
      <xdr:rowOff>7144</xdr:rowOff>
    </xdr:from>
    <xdr:to>
      <xdr:col>8</xdr:col>
      <xdr:colOff>409576</xdr:colOff>
      <xdr:row>74</xdr:row>
      <xdr:rowOff>35719</xdr:rowOff>
    </xdr:to>
    <xdr:graphicFrame macro="">
      <xdr:nvGraphicFramePr>
        <xdr:cNvPr id="11" name="Chart 10">
          <a:extLst>
            <a:ext uri="{FF2B5EF4-FFF2-40B4-BE49-F238E27FC236}">
              <a16:creationId xmlns:a16="http://schemas.microsoft.com/office/drawing/2014/main" id="{2DE45576-FDFC-1ED4-8D00-7D636283A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390525</xdr:colOff>
      <xdr:row>59</xdr:row>
      <xdr:rowOff>4763</xdr:rowOff>
    </xdr:from>
    <xdr:to>
      <xdr:col>12</xdr:col>
      <xdr:colOff>307182</xdr:colOff>
      <xdr:row>74</xdr:row>
      <xdr:rowOff>33338</xdr:rowOff>
    </xdr:to>
    <xdr:graphicFrame macro="">
      <xdr:nvGraphicFramePr>
        <xdr:cNvPr id="3" name="Chart 2">
          <a:extLst>
            <a:ext uri="{FF2B5EF4-FFF2-40B4-BE49-F238E27FC236}">
              <a16:creationId xmlns:a16="http://schemas.microsoft.com/office/drawing/2014/main" id="{4C397AA8-3AD1-4F73-8C49-62380279F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769144</xdr:colOff>
      <xdr:row>6</xdr:row>
      <xdr:rowOff>159544</xdr:rowOff>
    </xdr:from>
    <xdr:to>
      <xdr:col>16</xdr:col>
      <xdr:colOff>461963</xdr:colOff>
      <xdr:row>19</xdr:row>
      <xdr:rowOff>90488</xdr:rowOff>
    </xdr:to>
    <xdr:graphicFrame macro="">
      <xdr:nvGraphicFramePr>
        <xdr:cNvPr id="6" name="Chart 5">
          <a:extLst>
            <a:ext uri="{FF2B5EF4-FFF2-40B4-BE49-F238E27FC236}">
              <a16:creationId xmlns:a16="http://schemas.microsoft.com/office/drawing/2014/main" id="{B73D3A07-D997-0968-169F-6A59D110B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983455</xdr:colOff>
      <xdr:row>72</xdr:row>
      <xdr:rowOff>92868</xdr:rowOff>
    </xdr:from>
    <xdr:to>
      <xdr:col>9</xdr:col>
      <xdr:colOff>435768</xdr:colOff>
      <xdr:row>87</xdr:row>
      <xdr:rowOff>121443</xdr:rowOff>
    </xdr:to>
    <xdr:graphicFrame macro="">
      <xdr:nvGraphicFramePr>
        <xdr:cNvPr id="7" name="Chart 6">
          <a:extLst>
            <a:ext uri="{FF2B5EF4-FFF2-40B4-BE49-F238E27FC236}">
              <a16:creationId xmlns:a16="http://schemas.microsoft.com/office/drawing/2014/main" id="{90531E08-7AB8-F9D1-69EA-4DD050B31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san Habib Sunny" refreshedDate="46280.75065509259" backgroundQuery="1" createdVersion="8" refreshedVersion="8" minRefreshableVersion="3" recordCount="0" supportSubquery="1" supportAdvancedDrill="1" xr:uid="{76C7D3C3-D943-41EA-AEC1-2DF950D5ED70}">
  <cacheSource type="external" connectionId="1"/>
  <cacheFields count="5">
    <cacheField name="[Measures].[call counts]" caption="call counts"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san Habib Sunny" refreshedDate="46280.751742129629" backgroundQuery="1" createdVersion="8" refreshedVersion="8" minRefreshableVersion="3" recordCount="0" supportSubquery="1" supportAdvancedDrill="1" xr:uid="{96A8AAE3-CA03-400E-BA61-A5C5151F3A61}">
  <cacheSource type="external" connectionId="1"/>
  <cacheFields count="3">
    <cacheField name="[calls].[Representative].[Representative]" caption="Representative" numFmtId="0" hierarchy="3" level="1">
      <sharedItems count="5">
        <s v="R01"/>
        <s v="R02"/>
        <s v="R03"/>
        <s v="R04"/>
        <s v="R05"/>
      </sharedItems>
    </cacheField>
    <cacheField name="[Measures].[call counts]" caption="call counts"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san Habib Sunny" refreshedDate="46280.763778935187" backgroundQuery="1" createdVersion="8" refreshedVersion="8" minRefreshableVersion="3" recordCount="0" supportSubquery="1" supportAdvancedDrill="1" xr:uid="{9EAF8D63-73E5-4721-9CA5-1E5CA5D73385}">
  <cacheSource type="external" connectionId="1"/>
  <cacheFields count="3">
    <cacheField name="[customers].[Gedner].[Gedner]" caption="Gedner" numFmtId="0" hierarchy="13" level="1">
      <sharedItems count="2">
        <s v="Female"/>
        <s v="Male"/>
      </sharedItems>
    </cacheField>
    <cacheField name="[Measures].[Count of Customer ID]" caption="Count of Customer ID" numFmtId="0" hierarchy="25" level="32767"/>
    <cacheField name="[customers].[City].[City]" caption="City" numFmtId="0" hierarchy="15" level="1">
      <sharedItems count="3">
        <s v="Cincinnati"/>
        <s v="Cleveland"/>
        <s v="Columbus"/>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san Habib Sunny" refreshedDate="46280.779975115744" backgroundQuery="1" createdVersion="8" refreshedVersion="8" minRefreshableVersion="3" recordCount="0" supportSubquery="1" supportAdvancedDrill="1" xr:uid="{774EAAA7-FF04-4550-AAD7-5CA7EBF6FA8E}">
  <cacheSource type="external" connectionId="1"/>
  <cacheFields count="2">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s]" caption="call counts"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san Habib Sunny" refreshedDate="46280.795033796298" backgroundQuery="1" createdVersion="8" refreshedVersion="8" minRefreshableVersion="3" recordCount="0" supportSubquery="1" supportAdvancedDrill="1" xr:uid="{8CE6AFD2-6128-413B-AF47-EB868C657716}">
  <cacheSource type="external" connectionId="1"/>
  <cacheFields count="4">
    <cacheField name="[Measures].[Total Amount]" caption="Total Amount" numFmtId="0" hierarchy="18" level="32767"/>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cacheHierarchy uniqueName="[Measures].[Total Amount]" caption="Total Amount" measure="1" displayFolder="" measureGroup="calls" count="0" oneField="1">
      <fieldsUsage count="1">
        <fieldUsage x="0"/>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san Habib Sunny" refreshedDate="46280.861652314816" backgroundQuery="1" createdVersion="8" refreshedVersion="8" minRefreshableVersion="3" recordCount="0" supportSubquery="1" supportAdvancedDrill="1" xr:uid="{D62B5A41-9E64-4F4D-B707-8F0DFEE3B1C4}">
  <cacheSource type="external" connectionId="1"/>
  <cacheFields count="6">
    <cacheField name="[Measures].[call counts]" caption="call counts"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san Habib Sunny" refreshedDate="46280.861653009262" backgroundQuery="1" createdVersion="8" refreshedVersion="8" minRefreshableVersion="3" recordCount="0" supportSubquery="1" supportAdvancedDrill="1" xr:uid="{911E9D1B-1A48-4ACB-B83F-73020398CAE1}">
  <cacheSource type="external" connectionId="1"/>
  <cacheFields count="3">
    <cacheField name="[calls].[Date of Call (Month)].[Date of Call (Month)]" caption="Date of Call (Month)" numFmtId="0" hierarchy="11" level="1">
      <sharedItems count="12">
        <s v="Jan"/>
        <s v="Feb"/>
        <s v="Mar"/>
        <s v="Apr"/>
        <s v="May"/>
        <s v="Jun"/>
        <s v="Jul"/>
        <s v="Aug"/>
        <s v="Sep"/>
        <s v="Oct"/>
        <s v="Nov"/>
        <s v="Dec"/>
      </sharedItems>
    </cacheField>
    <cacheField name="[Measures].[call counts]" caption="call counts"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san Habib Sunny" refreshedDate="46280.861653587963" backgroundQuery="1" createdVersion="8" refreshedVersion="8" minRefreshableVersion="3" recordCount="0" supportSubquery="1" supportAdvancedDrill="1" xr:uid="{FAE1945D-9A57-4F30-9C76-FEA68B9D15B7}">
  <cacheSource type="external" connectionId="1"/>
  <cacheFields count="4">
    <cacheField name="[calls].[Date of Call (Month)].[Date of Call (Month)]" caption="Date of Call (Month)" numFmtId="0" hierarchy="11" level="1">
      <sharedItems count="12">
        <s v="Jan"/>
        <s v="Feb"/>
        <s v="Mar"/>
        <s v="Apr"/>
        <s v="May"/>
        <s v="Jun"/>
        <s v="Jul"/>
        <s v="Aug"/>
        <s v="Sep"/>
        <s v="Oct"/>
        <s v="Nov"/>
        <s v="Dec"/>
      </sharedItems>
    </cacheField>
    <cacheField name="[Measures].[call counts]" caption="call counts" numFmtId="0" hierarchy="17"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san Habib Sunny" refreshedDate="46280.861654166663" backgroundQuery="1" createdVersion="8" refreshedVersion="8" minRefreshableVersion="3" recordCount="0" supportSubquery="1" supportAdvancedDrill="1" xr:uid="{A8D7B86C-C1F4-4347-930D-C5C3A78C29D7}">
  <cacheSource type="external" connectionId="1"/>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san Habib Sunny" refreshedDate="46280.750646643515" backgroundQuery="1" createdVersion="3" refreshedVersion="8" minRefreshableVersion="3" recordCount="0" supportSubquery="1" supportAdvancedDrill="1" xr:uid="{8BA4BA08-DE71-473A-8C33-0085ED0CC0CD}">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28777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1512FA-E40A-4231-9987-F6C17296E294}" name="Customers Drill down" cacheId="55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92:G111"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fld="0"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639D3A-63B4-486E-9667-77A3EE46F80D}" name="Ratings" cacheId="5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0:B87"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485F8E-E624-47ED-A78E-17FD433BFB2D}" name="Female vs Male" cacheId="51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7">
  <location ref="L2:O6"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3">
    <i>
      <x/>
    </i>
    <i>
      <x v="1"/>
    </i>
    <i>
      <x v="2"/>
    </i>
  </rowItems>
  <colFields count="1">
    <field x="0"/>
  </colFields>
  <colItems count="3">
    <i>
      <x/>
    </i>
    <i>
      <x v="1"/>
    </i>
    <i t="grand">
      <x/>
    </i>
  </colItems>
  <dataFields count="1">
    <dataField name="Count of Customer ID"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9B4A99-2B49-4D74-A0F1-51F92EF7C8C0}" name="Weekday Trend" cacheId="6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2" rowHeaderCaption="Months">
  <location ref="A39:B47" firstHeaderRow="1" firstDataRow="1" firstDataCol="1"/>
  <pivotFields count="4">
    <pivotField name="Months"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fld="1" subtotal="count" baseField="0" baseItem="0"/>
  </dataFields>
  <chartFormats count="4">
    <chartFormat chart="1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BC2124-A21D-484C-AF82-BFD7ECD44564}" name="Monthly Trend" cacheId="6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rowHeaderCaption="Months">
  <location ref="A21:B34" firstHeaderRow="1" firstDataRow="1" firstDataCol="1"/>
  <pivotFields count="3">
    <pivotField name="Months"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1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34FB97-7497-4ED9-B9C8-43E241E9F1E5}" name="Rep Pivot" cacheId="6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6:E1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8B5954-9CE2-4447-800D-E2068D665141}" name="Selected Reps" cacheId="66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Representative">
  <location ref="A65:A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D5A0EC-EDC4-40C4-8593-A8B9BFE54ED3}" name="Summary Pivot" cacheId="5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47A33A-0FD0-456E-A898-C4226C8B919C}" name="Reps Pivot 2" cacheId="50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Representative">
  <location ref="A53: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5">
    <i>
      <x/>
    </i>
    <i>
      <x v="1"/>
    </i>
    <i>
      <x v="2"/>
    </i>
    <i>
      <x v="3"/>
    </i>
    <i>
      <x v="4"/>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57FD83FA-8E1C-4F63-955E-818955E86B15}" sourceName="[calls].[Representative]">
  <pivotTables>
    <pivotTable tabId="6" name="Rep Pivot"/>
    <pivotTable tabId="6" name="Monthly Trend"/>
    <pivotTable tabId="6" name="Weekday Trend"/>
    <pivotTable tabId="6" name="Selected Reps"/>
  </pivotTables>
  <data>
    <olap pivotCacheId="62877762">
      <levels count="2">
        <level uniqueName="[calls].[Representative].[(All)]" sourceCaption="(All)" count="0"/>
        <level uniqueName="[calls].[Representative].[Representative]" sourceCaption="Representative" count="5" sortOrder="ascending">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1" xr10:uid="{B9BA4EA1-DB19-4699-8B67-B6F2CCCF2638}" cache="Slicer_Representative" columnCount="5" showCaption="0"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F6B2E854-29F3-4E04-A037-099E333D8BA3}" cache="Slicer_Representative" caption="Representative" level="1"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0"/>
    <tableColumn id="5" xr3:uid="{5A35565E-8707-4DED-AD15-A0669D67B382}" name="Date of Call" dataDxfId="19"/>
    <tableColumn id="6" xr3:uid="{F2E4F158-B41F-47BC-8DF8-DFCADFEE4E40}" name="Purchase Amount"/>
    <tableColumn id="7" xr3:uid="{04B291B5-47BD-4F78-8FD8-D1551CCA6BD9}" name="Satisfaction Rating"/>
    <tableColumn id="8" xr3:uid="{6E4123C0-0B17-43B8-A142-A1E540CE974C}" name="FY" dataDxfId="18">
      <calculatedColumnFormula>IF(MONTH(calls[[#This Row],[Date of Call]])&lt;=6, YEAR(calls[[#This Row],[Date of Call]]), YEAR(calls[[#This Row],[Date of Call]])+1)</calculatedColumnFormula>
    </tableColumn>
    <tableColumn id="9" xr3:uid="{199FA271-5E9B-46CE-9BC6-2801F92CD17E}" name="Day of week" dataDxfId="17">
      <calculatedColumnFormula>TEXT(calls[[#This Row],[Date of Call]],"DDDD")</calculatedColumnFormula>
    </tableColumn>
    <tableColumn id="10" xr3:uid="{328CDB09-95B8-4D5E-9ED9-EF0D363735A1}" name="Duration Bucket" dataDxfId="1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4" headerRowBorderDxfId="13" tableBorderDxfId="12" totalsRowBorderDxfId="11">
  <autoFilter ref="Q3:T18" xr:uid="{27158F51-A707-4171-8A04-81FB0AABCBA5}"/>
  <tableColumns count="4">
    <tableColumn id="1" xr3:uid="{02688061-6A8C-4E23-B7FF-D00CD8B58CAC}" name="Customer ID" dataDxfId="10"/>
    <tableColumn id="2" xr3:uid="{771678B6-DB44-426B-9874-B4E421A440D5}" name="Gedner" dataDxfId="9"/>
    <tableColumn id="3" xr3:uid="{B0D41C62-587E-494D-B49A-603F2C05F8D3}" name="Age" dataDxfId="8"/>
    <tableColumn id="4" xr3:uid="{663F92D6-FE31-4D81-9E01-8D066DDC8A88}" name="City" dataDxfId="7"/>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5" zoomScaleNormal="115" workbookViewId="0">
      <selection activeCell="F4" sqref="F4"/>
    </sheetView>
  </sheetViews>
  <sheetFormatPr defaultRowHeight="14.25" x14ac:dyDescent="0.45"/>
  <cols>
    <col min="1" max="1" width="3.265625" customWidth="1"/>
    <col min="2" max="2" width="14.59765625" customWidth="1"/>
    <col min="3" max="3" width="12.86328125" customWidth="1"/>
    <col min="4" max="4" width="16.59765625" customWidth="1"/>
    <col min="5" max="5" width="15" customWidth="1"/>
    <col min="6" max="6" width="16.1328125" customWidth="1"/>
    <col min="7" max="7" width="17.265625" customWidth="1"/>
    <col min="8" max="8" width="18.3984375" customWidth="1"/>
    <col min="9" max="9" width="17.265625" customWidth="1"/>
    <col min="10" max="12" width="15.46484375" customWidth="1"/>
    <col min="13" max="16" width="7.46484375" customWidth="1"/>
    <col min="17" max="17" width="14.59765625" customWidth="1"/>
    <col min="20" max="20" width="10.59765625" customWidth="1"/>
  </cols>
  <sheetData>
    <row r="1" spans="2:20" s="4" customFormat="1" ht="48" customHeight="1" x14ac:dyDescent="0.45">
      <c r="B1" s="5" t="s">
        <v>1003</v>
      </c>
    </row>
    <row r="2" spans="2:20" x14ac:dyDescent="0.45">
      <c r="R2" s="1"/>
    </row>
    <row r="3" spans="2:20" x14ac:dyDescent="0.4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4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4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4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4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4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4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4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4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4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4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4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4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4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4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4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4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4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4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4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4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4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4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4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4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4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4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4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4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4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4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4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4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4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4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4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4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4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4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4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4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4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4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4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4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4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4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4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4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4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4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4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4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4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4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4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4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4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4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4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4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4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4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4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4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4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4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4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4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4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4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4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4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4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4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4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4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4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4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4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4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4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4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4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4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4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4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4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4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4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4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4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4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4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4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4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4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4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4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4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4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4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4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4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4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4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4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4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4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4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4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4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4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4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4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4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4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4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4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4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4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4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4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4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4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4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4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4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4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4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4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4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4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4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4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4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4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4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4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4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4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4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4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4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4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4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4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4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4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4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4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4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4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4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4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4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4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4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4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4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4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4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4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4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4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4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4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4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4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4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4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4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4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4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4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4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4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4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4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4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4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4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4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4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4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4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4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4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4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4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4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4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4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4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4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4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4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4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4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4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4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4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4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4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4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4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4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4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4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4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4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4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4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4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4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4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4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4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4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4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4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4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4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4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4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4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4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4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4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4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4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4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4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4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4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4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4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4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4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4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4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4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4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4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4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4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4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4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4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4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4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4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4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4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4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4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4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4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4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4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4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4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4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4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4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4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4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4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4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4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4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4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4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4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4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4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4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4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4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4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4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4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4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4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4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4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4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4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4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4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4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4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4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4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4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4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4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4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4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4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4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4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4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4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4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4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4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4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4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4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4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4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4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4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4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4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4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4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4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4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4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4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4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4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4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4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4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4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4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4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4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4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4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4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4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4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4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4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4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4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4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4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4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4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4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4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4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4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4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4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4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4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4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4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4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4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4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4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4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4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4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4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4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4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4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4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4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4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4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4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4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4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4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4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4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4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4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4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4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4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4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4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4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4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4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4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4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4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4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4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4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4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4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4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4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4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4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4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4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4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4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4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4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4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4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4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4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4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4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4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4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4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4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4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4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4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4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4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4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4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4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4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4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4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4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4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4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4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4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4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4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4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4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4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4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4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4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4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4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4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4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4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4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4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4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4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4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4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4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4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4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4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4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4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4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4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4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4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4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4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4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4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4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4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4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4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4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4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4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4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4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4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4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4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4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4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4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4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4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4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4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4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4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4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4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4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4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4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4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4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4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4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4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4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4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4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4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4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4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4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4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4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4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4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4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4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4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4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4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4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4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4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4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4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4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4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4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4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4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4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4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4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4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4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4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4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4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4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4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4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4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4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4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4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4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4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4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4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4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4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4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4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4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4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4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4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4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4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4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4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4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4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4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4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4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4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4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4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4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4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4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4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4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4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4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4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4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4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4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4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4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4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4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4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4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4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4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4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4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4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4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4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4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4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4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4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4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4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4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4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4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4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4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4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4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4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4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4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4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4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4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4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4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4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4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4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4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4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4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4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4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4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4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4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4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4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4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4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4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4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4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4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4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4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4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4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4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4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4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4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4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4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4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4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4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4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4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4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4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4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4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4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4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4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4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4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4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4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4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4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4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4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4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4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4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4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4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4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4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4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4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4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4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4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4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4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4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4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4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4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4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4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4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4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4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4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4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4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4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4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4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4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4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4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4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4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4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4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4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4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4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4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4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4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4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4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4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4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4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4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4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4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4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4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4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4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4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4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4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4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4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4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4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4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4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4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4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4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4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4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4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4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4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4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4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4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4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4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4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4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4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4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4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4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4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4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4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4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4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4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4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4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4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4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4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4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4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4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4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4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4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4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4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4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4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4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4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4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4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4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4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4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4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4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4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4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4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4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4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4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4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4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4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4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4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4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4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4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4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4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4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4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4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4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4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4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4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4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4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4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4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4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4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4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4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4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4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4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4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4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4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4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4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4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4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4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4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4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4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4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4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4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4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4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4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4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4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4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4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4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4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4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4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4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4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4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4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4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4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4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4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4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4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4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4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4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4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4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4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4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4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4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4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4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4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4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4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4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4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4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4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4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4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4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4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4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4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4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4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4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4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4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4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4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4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4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4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4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4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4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4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4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4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4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4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4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4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4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4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4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4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4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4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4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4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4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4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4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4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4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4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4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4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4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4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4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4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4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4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4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4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4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4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4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4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4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4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4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4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4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4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4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4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4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4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4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4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4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4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4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4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4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4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4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4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4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4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4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4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4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4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4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4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4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4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4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4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4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4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4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4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4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4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4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4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4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4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4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4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4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4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4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4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4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4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4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4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4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4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4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4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4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4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4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4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4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4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4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4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4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4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4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4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4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4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4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4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4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4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4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4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4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4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4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4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4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4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4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4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4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4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4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4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4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4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4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4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4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4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4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4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C14" sqref="C14"/>
    </sheetView>
  </sheetViews>
  <sheetFormatPr defaultRowHeight="14.25" x14ac:dyDescent="0.45"/>
  <cols>
    <col min="5" max="5" width="10.86328125" customWidth="1"/>
    <col min="6" max="6" width="9.86328125" customWidth="1"/>
  </cols>
  <sheetData>
    <row r="2" spans="5:6" x14ac:dyDescent="0.45">
      <c r="E2" t="s">
        <v>1040</v>
      </c>
      <c r="F2" t="s">
        <v>1041</v>
      </c>
    </row>
    <row r="3" spans="5:6" ht="25.5" customHeight="1" x14ac:dyDescent="0.45">
      <c r="E3" t="s">
        <v>11</v>
      </c>
      <c r="F3" t="e" vm="1">
        <v>#VALUE!</v>
      </c>
    </row>
    <row r="4" spans="5:6" ht="25.5" customHeight="1" x14ac:dyDescent="0.45">
      <c r="E4" t="s">
        <v>9</v>
      </c>
      <c r="F4" t="e" vm="2">
        <v>#VALUE!</v>
      </c>
    </row>
    <row r="5" spans="5:6" ht="25.5" customHeight="1" x14ac:dyDescent="0.45">
      <c r="E5" t="s">
        <v>6</v>
      </c>
      <c r="F5" t="e" vm="3">
        <v>#VALUE!</v>
      </c>
    </row>
    <row r="6" spans="5:6" ht="25.5" customHeight="1" x14ac:dyDescent="0.45">
      <c r="E6" t="s">
        <v>13</v>
      </c>
      <c r="F6" t="e" vm="4">
        <v>#VALUE!</v>
      </c>
    </row>
    <row r="7" spans="5:6" ht="25.5" customHeight="1" x14ac:dyDescent="0.45">
      <c r="E7" t="s">
        <v>10</v>
      </c>
      <c r="F7" t="e" vm="5">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D5533-2B73-4E35-B685-F9F227FA849F}">
  <dimension ref="A1:U37"/>
  <sheetViews>
    <sheetView tabSelected="1" zoomScale="80" zoomScaleNormal="80" workbookViewId="0">
      <selection activeCell="T7" sqref="T7"/>
    </sheetView>
  </sheetViews>
  <sheetFormatPr defaultRowHeight="14.25" x14ac:dyDescent="0.45"/>
  <cols>
    <col min="1" max="1" width="9.06640625" customWidth="1"/>
    <col min="12" max="12" width="9.19921875" customWidth="1"/>
    <col min="13" max="13" width="11.3984375" customWidth="1"/>
    <col min="14" max="19" width="10.6640625" bestFit="1" customWidth="1"/>
  </cols>
  <sheetData>
    <row r="1" spans="1:21" s="41" customFormat="1" ht="29.65" customHeight="1" x14ac:dyDescent="0.65">
      <c r="A1" s="41" t="s">
        <v>1079</v>
      </c>
    </row>
    <row r="2" spans="1:21" x14ac:dyDescent="0.45">
      <c r="A2" s="24"/>
      <c r="B2" s="24"/>
      <c r="C2" s="24"/>
      <c r="D2" s="24"/>
      <c r="E2" s="24"/>
      <c r="F2" s="24"/>
      <c r="G2" s="24"/>
      <c r="H2" s="24"/>
      <c r="I2" s="24"/>
      <c r="J2" s="24"/>
      <c r="K2" s="24"/>
      <c r="L2" s="24"/>
      <c r="M2" s="24"/>
      <c r="N2" s="24"/>
      <c r="O2" s="24"/>
      <c r="P2" s="24"/>
      <c r="Q2" s="24"/>
      <c r="R2" s="24"/>
      <c r="S2" s="24"/>
      <c r="T2" s="24"/>
      <c r="U2" s="24"/>
    </row>
    <row r="3" spans="1:21" x14ac:dyDescent="0.45">
      <c r="A3" s="24"/>
      <c r="B3" s="24"/>
      <c r="C3" s="24"/>
      <c r="D3" s="24"/>
      <c r="E3" s="24"/>
      <c r="F3" s="24"/>
      <c r="G3" s="24"/>
      <c r="H3" s="24"/>
      <c r="I3" s="24"/>
      <c r="J3" s="24"/>
      <c r="K3" s="24"/>
      <c r="L3" s="24"/>
      <c r="M3" s="24"/>
      <c r="N3" s="24"/>
      <c r="O3" s="24"/>
      <c r="P3" s="24"/>
      <c r="Q3" s="24"/>
      <c r="R3" s="24"/>
      <c r="S3" s="24"/>
      <c r="T3" s="24"/>
      <c r="U3" s="24"/>
    </row>
    <row r="4" spans="1:21" s="24" customFormat="1" x14ac:dyDescent="0.45"/>
    <row r="5" spans="1:21" x14ac:dyDescent="0.45">
      <c r="A5" s="24"/>
      <c r="B5" s="24"/>
      <c r="C5" s="24"/>
      <c r="D5" s="24"/>
      <c r="E5" s="24"/>
      <c r="F5" s="24"/>
      <c r="G5" s="24"/>
      <c r="H5" s="24"/>
      <c r="I5" s="24"/>
      <c r="J5" s="24"/>
      <c r="K5" s="24"/>
      <c r="L5" s="24"/>
      <c r="M5" s="24"/>
      <c r="N5" s="24"/>
      <c r="O5" s="24"/>
      <c r="P5" s="24"/>
      <c r="Q5" s="24"/>
      <c r="R5" s="24"/>
      <c r="S5" s="24"/>
      <c r="T5" s="24"/>
      <c r="U5" s="24"/>
    </row>
    <row r="6" spans="1:21" x14ac:dyDescent="0.45">
      <c r="A6" s="24"/>
      <c r="B6" s="24"/>
      <c r="C6" s="24"/>
      <c r="D6" s="24"/>
      <c r="E6" s="24"/>
      <c r="F6" s="24"/>
      <c r="G6" s="24"/>
      <c r="H6" s="24"/>
      <c r="I6" s="24"/>
      <c r="J6" s="24"/>
      <c r="K6" s="24"/>
      <c r="L6" s="24"/>
      <c r="M6" s="24"/>
      <c r="N6" s="24"/>
      <c r="O6" s="24"/>
      <c r="P6" s="24" t="s">
        <v>1061</v>
      </c>
      <c r="Q6" s="24"/>
      <c r="R6" s="24"/>
      <c r="S6" s="24"/>
      <c r="T6" s="24"/>
      <c r="U6" s="24"/>
    </row>
    <row r="7" spans="1:21" x14ac:dyDescent="0.45">
      <c r="A7" s="24"/>
      <c r="B7" s="24"/>
      <c r="C7" s="24"/>
      <c r="D7" s="24"/>
      <c r="E7" s="24"/>
      <c r="F7" s="24"/>
      <c r="G7" s="24"/>
      <c r="H7" s="24"/>
      <c r="I7" s="24"/>
      <c r="J7" s="24"/>
      <c r="K7" s="24"/>
      <c r="L7" s="24"/>
      <c r="M7" s="24"/>
      <c r="N7" s="24"/>
      <c r="O7" s="24"/>
      <c r="P7" s="24"/>
      <c r="Q7" s="24"/>
      <c r="R7" s="24"/>
      <c r="S7" s="24"/>
      <c r="T7" s="24"/>
      <c r="U7" s="24"/>
    </row>
    <row r="8" spans="1:21" x14ac:dyDescent="0.45">
      <c r="A8" s="24"/>
      <c r="B8" s="24"/>
      <c r="C8" s="24"/>
      <c r="D8" s="24"/>
      <c r="E8" s="24"/>
      <c r="F8" s="24"/>
      <c r="G8" s="24"/>
      <c r="H8" s="24"/>
      <c r="I8" s="24"/>
      <c r="J8" s="24"/>
      <c r="K8" s="24"/>
      <c r="L8" s="24"/>
      <c r="M8" s="24"/>
      <c r="N8" s="24"/>
      <c r="O8" s="24"/>
      <c r="P8" s="24"/>
      <c r="Q8" s="24"/>
      <c r="R8" s="24"/>
      <c r="S8" s="24"/>
      <c r="T8" s="24"/>
      <c r="U8" s="24"/>
    </row>
    <row r="9" spans="1:21" x14ac:dyDescent="0.45">
      <c r="A9" s="24"/>
      <c r="B9" s="24"/>
      <c r="C9" s="24"/>
      <c r="D9" s="24"/>
      <c r="E9" s="24"/>
      <c r="F9" s="24"/>
      <c r="G9" s="24"/>
      <c r="H9" s="24"/>
      <c r="I9" s="24"/>
      <c r="J9" s="24"/>
      <c r="K9" s="24"/>
      <c r="L9" s="24"/>
      <c r="M9" s="24"/>
      <c r="N9" s="24"/>
      <c r="O9" s="24"/>
      <c r="P9" s="24"/>
      <c r="Q9" s="24"/>
      <c r="R9" s="24"/>
      <c r="S9" s="24"/>
      <c r="T9" s="24"/>
      <c r="U9" s="24"/>
    </row>
    <row r="10" spans="1:21" x14ac:dyDescent="0.45">
      <c r="A10" s="24"/>
      <c r="B10" s="24"/>
      <c r="C10" s="24"/>
      <c r="D10" s="24"/>
      <c r="E10" s="24"/>
      <c r="F10" s="24"/>
      <c r="G10" s="24"/>
      <c r="H10" s="24"/>
      <c r="I10" s="24"/>
      <c r="J10" s="24"/>
      <c r="K10" s="24"/>
      <c r="L10" s="24"/>
      <c r="M10" s="24"/>
      <c r="N10" s="24"/>
      <c r="O10" s="24"/>
      <c r="P10" s="24"/>
      <c r="Q10" s="24"/>
      <c r="R10" s="24"/>
      <c r="S10" s="24"/>
      <c r="T10" s="24"/>
      <c r="U10" s="24"/>
    </row>
    <row r="11" spans="1:21" x14ac:dyDescent="0.45">
      <c r="A11" s="24"/>
      <c r="B11" s="24"/>
      <c r="C11" s="24"/>
      <c r="D11" s="24"/>
      <c r="E11" s="24"/>
      <c r="F11" s="24"/>
      <c r="G11" s="24"/>
      <c r="H11" s="24"/>
      <c r="I11" s="24"/>
      <c r="J11" s="24"/>
      <c r="K11" s="24"/>
      <c r="L11" s="24"/>
      <c r="M11" s="24"/>
      <c r="N11" s="24"/>
      <c r="O11" s="24"/>
      <c r="P11" s="24"/>
      <c r="Q11" s="24"/>
      <c r="R11" s="24"/>
      <c r="S11" s="24"/>
      <c r="T11" s="24"/>
      <c r="U11" s="24"/>
    </row>
    <row r="12" spans="1:21" x14ac:dyDescent="0.45">
      <c r="A12" s="24"/>
      <c r="B12" s="24"/>
      <c r="C12" s="24"/>
      <c r="D12" s="24"/>
      <c r="E12" s="24"/>
      <c r="F12" s="24"/>
      <c r="G12" s="24"/>
      <c r="H12" s="24"/>
      <c r="I12" s="24"/>
      <c r="J12" s="24"/>
      <c r="K12" s="24"/>
      <c r="L12" s="24"/>
      <c r="M12" s="24"/>
      <c r="N12" s="24"/>
      <c r="O12" s="24"/>
      <c r="P12" s="24"/>
      <c r="Q12" s="24"/>
      <c r="R12" s="24"/>
      <c r="S12" s="24"/>
      <c r="T12" s="24"/>
      <c r="U12" s="24"/>
    </row>
    <row r="13" spans="1:21" x14ac:dyDescent="0.45">
      <c r="A13" s="24"/>
      <c r="B13" s="24"/>
      <c r="C13" s="24"/>
      <c r="D13" s="24"/>
      <c r="E13" s="24"/>
      <c r="F13" s="24"/>
      <c r="G13" s="24"/>
      <c r="H13" s="24"/>
      <c r="I13" s="24"/>
      <c r="J13" s="24"/>
      <c r="K13" s="24"/>
      <c r="L13" s="24"/>
      <c r="M13" s="24"/>
      <c r="N13" s="24"/>
      <c r="O13" s="24"/>
      <c r="P13" s="24"/>
      <c r="Q13" s="24"/>
      <c r="R13" s="24"/>
      <c r="S13" s="24"/>
      <c r="T13" s="24"/>
      <c r="U13" s="24"/>
    </row>
    <row r="14" spans="1:21" x14ac:dyDescent="0.45">
      <c r="A14" s="24"/>
      <c r="B14" s="24"/>
      <c r="C14" s="24"/>
      <c r="D14" s="24"/>
      <c r="E14" s="24"/>
      <c r="F14" s="24"/>
      <c r="G14" s="24"/>
      <c r="H14" s="24"/>
      <c r="I14" s="24"/>
      <c r="J14" s="24"/>
      <c r="K14" s="24"/>
      <c r="L14" s="24"/>
      <c r="M14" s="24"/>
      <c r="N14" s="24"/>
      <c r="O14" s="24"/>
      <c r="P14" s="24"/>
      <c r="Q14" s="24"/>
      <c r="R14" s="24"/>
      <c r="S14" s="24"/>
      <c r="T14" s="24"/>
      <c r="U14" s="24"/>
    </row>
    <row r="15" spans="1:21" x14ac:dyDescent="0.45">
      <c r="A15" s="24"/>
      <c r="B15" s="24"/>
      <c r="C15" s="24"/>
      <c r="D15" s="24"/>
      <c r="E15" s="24"/>
      <c r="F15" s="24"/>
      <c r="G15" s="24"/>
      <c r="H15" s="24"/>
      <c r="I15" s="24"/>
      <c r="J15" s="24"/>
      <c r="K15" s="24"/>
      <c r="L15" s="24"/>
      <c r="M15" s="24"/>
      <c r="N15" s="24"/>
      <c r="O15" s="24"/>
      <c r="P15" s="24"/>
      <c r="Q15" s="24"/>
      <c r="R15" s="24"/>
      <c r="S15" s="24"/>
      <c r="T15" s="24"/>
      <c r="U15" s="24"/>
    </row>
    <row r="16" spans="1:21" x14ac:dyDescent="0.45">
      <c r="A16" s="24"/>
      <c r="B16" s="24"/>
      <c r="C16" s="24"/>
      <c r="D16" s="24"/>
      <c r="E16" s="24"/>
      <c r="F16" s="24"/>
      <c r="G16" s="24"/>
      <c r="H16" s="24"/>
      <c r="I16" s="24"/>
      <c r="J16" s="24"/>
      <c r="K16" s="24"/>
      <c r="L16" s="24"/>
      <c r="M16" s="24"/>
      <c r="N16" s="24"/>
      <c r="O16" s="24"/>
      <c r="P16" s="24"/>
      <c r="Q16" s="24"/>
      <c r="R16" s="24"/>
      <c r="S16" s="24"/>
      <c r="T16" s="24"/>
      <c r="U16" s="24"/>
    </row>
    <row r="17" spans="1:21" x14ac:dyDescent="0.45">
      <c r="A17" s="24"/>
      <c r="B17" s="24"/>
      <c r="C17" s="24"/>
      <c r="D17" s="24"/>
      <c r="E17" s="24"/>
      <c r="F17" s="24"/>
      <c r="G17" s="24"/>
      <c r="H17" s="24"/>
      <c r="I17" s="24"/>
      <c r="J17" s="24"/>
      <c r="K17" s="24"/>
      <c r="L17" s="24"/>
      <c r="M17" s="31"/>
      <c r="N17" s="32" t="str" cm="1">
        <f t="array" ref="N17:R17">Pivot!B93:F93</f>
        <v>R01</v>
      </c>
      <c r="O17" s="32" t="str">
        <v>R02</v>
      </c>
      <c r="P17" s="32" t="str">
        <v>R03</v>
      </c>
      <c r="Q17" s="32" t="str">
        <v>R04</v>
      </c>
      <c r="R17" s="32" t="str">
        <v>R05</v>
      </c>
      <c r="S17" s="33" t="s">
        <v>1078</v>
      </c>
      <c r="T17" s="24"/>
      <c r="U17" s="24"/>
    </row>
    <row r="18" spans="1:21" x14ac:dyDescent="0.45">
      <c r="A18" s="24"/>
      <c r="B18" s="24"/>
      <c r="C18" s="24"/>
      <c r="D18" s="24"/>
      <c r="E18" s="24"/>
      <c r="F18" s="24"/>
      <c r="G18" s="24"/>
      <c r="H18" s="24"/>
      <c r="I18" s="24"/>
      <c r="J18" s="24"/>
      <c r="K18" s="24"/>
      <c r="L18" s="24"/>
      <c r="M18" s="34" t="str" cm="1">
        <f t="array" ref="M18:S35">IF(Pivot!A94:G111="","",Pivot!A94:G111)</f>
        <v>Cincinnati</v>
      </c>
      <c r="N18" s="35" t="str">
        <v/>
      </c>
      <c r="O18" s="35" t="str">
        <v/>
      </c>
      <c r="P18" s="35" t="str">
        <v/>
      </c>
      <c r="Q18" s="35" t="str">
        <v/>
      </c>
      <c r="R18" s="35" t="str">
        <v/>
      </c>
      <c r="S18" s="36" t="str">
        <v/>
      </c>
      <c r="T18" s="24"/>
      <c r="U18" s="24"/>
    </row>
    <row r="19" spans="1:21" x14ac:dyDescent="0.45">
      <c r="A19" s="24"/>
      <c r="B19" s="24"/>
      <c r="C19" s="24"/>
      <c r="D19" s="24"/>
      <c r="E19" s="24"/>
      <c r="F19" s="24"/>
      <c r="G19" s="24"/>
      <c r="H19" s="24"/>
      <c r="I19" s="24"/>
      <c r="J19" s="24"/>
      <c r="K19" s="24"/>
      <c r="L19" s="24"/>
      <c r="M19" s="37" t="str">
        <v>C0003</v>
      </c>
      <c r="N19" s="35">
        <v>891</v>
      </c>
      <c r="O19" s="35">
        <v>1332</v>
      </c>
      <c r="P19" s="35">
        <v>1282</v>
      </c>
      <c r="Q19" s="35">
        <v>739</v>
      </c>
      <c r="R19" s="35">
        <v>560</v>
      </c>
      <c r="S19" s="36">
        <v>4804</v>
      </c>
      <c r="T19" s="24"/>
      <c r="U19" s="24"/>
    </row>
    <row r="20" spans="1:21" x14ac:dyDescent="0.45">
      <c r="A20" s="24"/>
      <c r="B20" s="24"/>
      <c r="C20" s="24"/>
      <c r="D20" s="24"/>
      <c r="E20" s="24"/>
      <c r="F20" s="24"/>
      <c r="G20" s="24"/>
      <c r="H20" s="24"/>
      <c r="I20" s="24"/>
      <c r="J20" s="24"/>
      <c r="K20" s="24"/>
      <c r="L20" s="24"/>
      <c r="M20" s="37" t="str">
        <v>C0004</v>
      </c>
      <c r="N20" s="35">
        <v>1991</v>
      </c>
      <c r="O20" s="35">
        <v>1886</v>
      </c>
      <c r="P20" s="35">
        <v>1206</v>
      </c>
      <c r="Q20" s="35">
        <v>884</v>
      </c>
      <c r="R20" s="35">
        <v>1722</v>
      </c>
      <c r="S20" s="36">
        <v>7689</v>
      </c>
      <c r="T20" s="24"/>
      <c r="U20" s="24"/>
    </row>
    <row r="21" spans="1:21" x14ac:dyDescent="0.45">
      <c r="A21" s="24"/>
      <c r="B21" s="24"/>
      <c r="C21" s="24"/>
      <c r="D21" s="24"/>
      <c r="E21" s="24"/>
      <c r="F21" s="24"/>
      <c r="G21" s="24"/>
      <c r="H21" s="24"/>
      <c r="I21" s="24"/>
      <c r="J21" s="24"/>
      <c r="K21" s="24"/>
      <c r="L21" s="24"/>
      <c r="M21" s="37" t="str">
        <v>C0011</v>
      </c>
      <c r="N21" s="35">
        <v>1163</v>
      </c>
      <c r="O21" s="35">
        <v>1180</v>
      </c>
      <c r="P21" s="35">
        <v>1616</v>
      </c>
      <c r="Q21" s="35">
        <v>1043</v>
      </c>
      <c r="R21" s="35">
        <v>1747</v>
      </c>
      <c r="S21" s="36">
        <v>6749</v>
      </c>
      <c r="T21" s="24"/>
      <c r="U21" s="24"/>
    </row>
    <row r="22" spans="1:21" x14ac:dyDescent="0.45">
      <c r="A22" s="24"/>
      <c r="B22" s="24"/>
      <c r="C22" s="24"/>
      <c r="D22" s="24"/>
      <c r="E22" s="24"/>
      <c r="F22" s="24"/>
      <c r="G22" s="24"/>
      <c r="H22" s="24"/>
      <c r="I22" s="24"/>
      <c r="J22" s="24"/>
      <c r="K22" s="24"/>
      <c r="L22" s="24"/>
      <c r="M22" s="37" t="str">
        <v>C0012</v>
      </c>
      <c r="N22" s="35">
        <v>1438</v>
      </c>
      <c r="O22" s="35">
        <v>1616</v>
      </c>
      <c r="P22" s="35">
        <v>866</v>
      </c>
      <c r="Q22" s="35">
        <v>829</v>
      </c>
      <c r="R22" s="35">
        <v>2070</v>
      </c>
      <c r="S22" s="36">
        <v>6819</v>
      </c>
      <c r="T22" s="24"/>
      <c r="U22" s="24"/>
    </row>
    <row r="23" spans="1:21" x14ac:dyDescent="0.45">
      <c r="A23" s="24"/>
      <c r="B23" s="24"/>
      <c r="C23" s="24"/>
      <c r="D23" s="24"/>
      <c r="E23" s="24"/>
      <c r="F23" s="24"/>
      <c r="G23" s="24"/>
      <c r="H23" s="24"/>
      <c r="I23" s="24"/>
      <c r="J23" s="24"/>
      <c r="K23" s="24"/>
      <c r="L23" s="24"/>
      <c r="M23" s="34" t="str">
        <v>Cleveland</v>
      </c>
      <c r="N23" s="35" t="str">
        <v/>
      </c>
      <c r="O23" s="35" t="str">
        <v/>
      </c>
      <c r="P23" s="35" t="str">
        <v/>
      </c>
      <c r="Q23" s="35" t="str">
        <v/>
      </c>
      <c r="R23" s="35" t="str">
        <v/>
      </c>
      <c r="S23" s="36" t="str">
        <v/>
      </c>
      <c r="T23" s="24"/>
      <c r="U23" s="24"/>
    </row>
    <row r="24" spans="1:21" x14ac:dyDescent="0.45">
      <c r="A24" s="24"/>
      <c r="B24" s="24"/>
      <c r="C24" s="24"/>
      <c r="D24" s="24"/>
      <c r="E24" s="24"/>
      <c r="F24" s="24"/>
      <c r="G24" s="24"/>
      <c r="H24" s="24"/>
      <c r="I24" s="24"/>
      <c r="J24" s="24"/>
      <c r="K24" s="24"/>
      <c r="L24" s="24"/>
      <c r="M24" s="37" t="str">
        <v>C0002</v>
      </c>
      <c r="N24" s="35">
        <v>1233</v>
      </c>
      <c r="O24" s="35">
        <v>223</v>
      </c>
      <c r="P24" s="35">
        <v>1680</v>
      </c>
      <c r="Q24" s="35">
        <v>990</v>
      </c>
      <c r="R24" s="35">
        <v>1508</v>
      </c>
      <c r="S24" s="36">
        <v>5634</v>
      </c>
      <c r="T24" s="24"/>
      <c r="U24" s="24"/>
    </row>
    <row r="25" spans="1:21" x14ac:dyDescent="0.45">
      <c r="A25" s="24"/>
      <c r="B25" s="24"/>
      <c r="C25" s="24"/>
      <c r="D25" s="24"/>
      <c r="E25" s="24"/>
      <c r="F25" s="24"/>
      <c r="G25" s="24"/>
      <c r="H25" s="24"/>
      <c r="I25" s="24"/>
      <c r="J25" s="24"/>
      <c r="K25" s="24"/>
      <c r="L25" s="24"/>
      <c r="M25" s="37" t="str">
        <v>C0007</v>
      </c>
      <c r="N25" s="35">
        <v>1598</v>
      </c>
      <c r="O25" s="35">
        <v>1907</v>
      </c>
      <c r="P25" s="35">
        <v>869</v>
      </c>
      <c r="Q25" s="35">
        <v>1426</v>
      </c>
      <c r="R25" s="35">
        <v>1416</v>
      </c>
      <c r="S25" s="36">
        <v>7216</v>
      </c>
      <c r="T25" s="24"/>
      <c r="U25" s="24"/>
    </row>
    <row r="26" spans="1:21" x14ac:dyDescent="0.45">
      <c r="A26" s="24"/>
      <c r="B26" s="24"/>
      <c r="C26" s="24"/>
      <c r="D26" s="24"/>
      <c r="E26" s="24"/>
      <c r="F26" s="24"/>
      <c r="G26" s="24"/>
      <c r="H26" s="24"/>
      <c r="I26" s="24"/>
      <c r="J26" s="24"/>
      <c r="K26" s="24"/>
      <c r="L26" s="24"/>
      <c r="M26" s="37" t="str">
        <v>C0008</v>
      </c>
      <c r="N26" s="35">
        <v>900</v>
      </c>
      <c r="O26" s="35">
        <v>1016</v>
      </c>
      <c r="P26" s="35">
        <v>960</v>
      </c>
      <c r="Q26" s="35">
        <v>940</v>
      </c>
      <c r="R26" s="35">
        <v>1193</v>
      </c>
      <c r="S26" s="36">
        <v>5009</v>
      </c>
      <c r="T26" s="24"/>
      <c r="U26" s="24"/>
    </row>
    <row r="27" spans="1:21" x14ac:dyDescent="0.45">
      <c r="A27" s="24"/>
      <c r="B27" s="24"/>
      <c r="C27" s="24"/>
      <c r="D27" s="24"/>
      <c r="E27" s="24"/>
      <c r="F27" s="24"/>
      <c r="G27" s="24"/>
      <c r="H27" s="24"/>
      <c r="I27" s="24"/>
      <c r="J27" s="24"/>
      <c r="K27" s="24"/>
      <c r="L27" s="24"/>
      <c r="M27" s="37" t="str">
        <v>C0010</v>
      </c>
      <c r="N27" s="35">
        <v>900</v>
      </c>
      <c r="O27" s="35">
        <v>1470</v>
      </c>
      <c r="P27" s="35">
        <v>1617</v>
      </c>
      <c r="Q27" s="35">
        <v>1314</v>
      </c>
      <c r="R27" s="35">
        <v>941</v>
      </c>
      <c r="S27" s="36">
        <v>6242</v>
      </c>
      <c r="T27" s="24"/>
      <c r="U27" s="24"/>
    </row>
    <row r="28" spans="1:21" x14ac:dyDescent="0.45">
      <c r="A28" s="24"/>
      <c r="B28" s="24"/>
      <c r="C28" s="24"/>
      <c r="D28" s="24"/>
      <c r="E28" s="24"/>
      <c r="F28" s="24"/>
      <c r="G28" s="24"/>
      <c r="H28" s="24"/>
      <c r="I28" s="24"/>
      <c r="J28" s="24"/>
      <c r="K28" s="24"/>
      <c r="L28" s="24"/>
      <c r="M28" s="37" t="str">
        <v>C0013</v>
      </c>
      <c r="N28" s="35">
        <v>1255</v>
      </c>
      <c r="O28" s="35">
        <v>516</v>
      </c>
      <c r="P28" s="35">
        <v>1874</v>
      </c>
      <c r="Q28" s="35">
        <v>1863</v>
      </c>
      <c r="R28" s="35">
        <v>1722</v>
      </c>
      <c r="S28" s="36">
        <v>7230</v>
      </c>
      <c r="T28" s="24"/>
      <c r="U28" s="24"/>
    </row>
    <row r="29" spans="1:21" x14ac:dyDescent="0.45">
      <c r="A29" s="24"/>
      <c r="B29" s="24"/>
      <c r="C29" s="24"/>
      <c r="D29" s="24"/>
      <c r="E29" s="24"/>
      <c r="F29" s="24"/>
      <c r="G29" s="24"/>
      <c r="H29" s="24"/>
      <c r="I29" s="24"/>
      <c r="J29" s="24"/>
      <c r="K29" s="24"/>
      <c r="L29" s="24"/>
      <c r="M29" s="37" t="str">
        <v>C0015</v>
      </c>
      <c r="N29" s="35">
        <v>1138</v>
      </c>
      <c r="O29" s="35">
        <v>1898</v>
      </c>
      <c r="P29" s="35">
        <v>1482</v>
      </c>
      <c r="Q29" s="35">
        <v>846</v>
      </c>
      <c r="R29" s="35">
        <v>1154</v>
      </c>
      <c r="S29" s="36">
        <v>6518</v>
      </c>
      <c r="T29" s="24"/>
      <c r="U29" s="24"/>
    </row>
    <row r="30" spans="1:21" x14ac:dyDescent="0.45">
      <c r="A30" s="24"/>
      <c r="B30" s="24"/>
      <c r="C30" s="24"/>
      <c r="D30" s="24"/>
      <c r="E30" s="24"/>
      <c r="F30" s="24"/>
      <c r="G30" s="24"/>
      <c r="H30" s="24"/>
      <c r="I30" s="24"/>
      <c r="J30" s="24"/>
      <c r="K30" s="24"/>
      <c r="L30" s="24"/>
      <c r="M30" s="34" t="str">
        <v>Columbus</v>
      </c>
      <c r="N30" s="35" t="str">
        <v/>
      </c>
      <c r="O30" s="35" t="str">
        <v/>
      </c>
      <c r="P30" s="35" t="str">
        <v/>
      </c>
      <c r="Q30" s="35" t="str">
        <v/>
      </c>
      <c r="R30" s="35" t="str">
        <v/>
      </c>
      <c r="S30" s="36" t="str">
        <v/>
      </c>
      <c r="T30" s="24"/>
      <c r="U30" s="24"/>
    </row>
    <row r="31" spans="1:21" x14ac:dyDescent="0.45">
      <c r="A31" s="24"/>
      <c r="B31" s="24"/>
      <c r="C31" s="24"/>
      <c r="D31" s="24"/>
      <c r="E31" s="24"/>
      <c r="F31" s="24"/>
      <c r="G31" s="24"/>
      <c r="H31" s="24"/>
      <c r="I31" s="24"/>
      <c r="J31" s="24"/>
      <c r="K31" s="24"/>
      <c r="L31" s="24"/>
      <c r="M31" s="37" t="str">
        <v>C0001</v>
      </c>
      <c r="N31" s="35">
        <v>1655</v>
      </c>
      <c r="O31" s="35">
        <v>805</v>
      </c>
      <c r="P31" s="35">
        <v>2263</v>
      </c>
      <c r="Q31" s="35">
        <v>987</v>
      </c>
      <c r="R31" s="35">
        <v>1075</v>
      </c>
      <c r="S31" s="36">
        <v>6785</v>
      </c>
      <c r="T31" s="24"/>
      <c r="U31" s="24"/>
    </row>
    <row r="32" spans="1:21" x14ac:dyDescent="0.45">
      <c r="A32" s="24"/>
      <c r="B32" s="24"/>
      <c r="C32" s="24"/>
      <c r="D32" s="24"/>
      <c r="E32" s="24"/>
      <c r="F32" s="24"/>
      <c r="G32" s="24"/>
      <c r="H32" s="24"/>
      <c r="I32" s="24"/>
      <c r="J32" s="24"/>
      <c r="K32" s="24"/>
      <c r="L32" s="24"/>
      <c r="M32" s="37" t="str">
        <v>C0005</v>
      </c>
      <c r="N32" s="35">
        <v>1104</v>
      </c>
      <c r="O32" s="35">
        <v>2280</v>
      </c>
      <c r="P32" s="35">
        <v>1445</v>
      </c>
      <c r="Q32" s="35">
        <v>1722</v>
      </c>
      <c r="R32" s="35">
        <v>1196</v>
      </c>
      <c r="S32" s="36">
        <v>7747</v>
      </c>
      <c r="T32" s="24"/>
      <c r="U32" s="24"/>
    </row>
    <row r="33" spans="1:21" x14ac:dyDescent="0.45">
      <c r="A33" s="24"/>
      <c r="B33" s="24"/>
      <c r="C33" s="24"/>
      <c r="D33" s="24"/>
      <c r="E33" s="24"/>
      <c r="F33" s="24"/>
      <c r="G33" s="24"/>
      <c r="H33" s="24"/>
      <c r="I33" s="24"/>
      <c r="J33" s="24"/>
      <c r="K33" s="24"/>
      <c r="L33" s="24"/>
      <c r="M33" s="37" t="str">
        <v>C0006</v>
      </c>
      <c r="N33" s="35">
        <v>372</v>
      </c>
      <c r="O33" s="35">
        <v>1818</v>
      </c>
      <c r="P33" s="35">
        <v>1346</v>
      </c>
      <c r="Q33" s="35">
        <v>1156</v>
      </c>
      <c r="R33" s="35">
        <v>1484</v>
      </c>
      <c r="S33" s="36">
        <v>6176</v>
      </c>
      <c r="T33" s="24"/>
      <c r="U33" s="24"/>
    </row>
    <row r="34" spans="1:21" x14ac:dyDescent="0.45">
      <c r="A34" s="24"/>
      <c r="B34" s="24"/>
      <c r="C34" s="24"/>
      <c r="D34" s="24"/>
      <c r="E34" s="24"/>
      <c r="F34" s="24"/>
      <c r="G34" s="24"/>
      <c r="H34" s="24"/>
      <c r="I34" s="24"/>
      <c r="J34" s="24"/>
      <c r="K34" s="24"/>
      <c r="L34" s="24"/>
      <c r="M34" s="37" t="str">
        <v>C0009</v>
      </c>
      <c r="N34" s="35">
        <v>1415</v>
      </c>
      <c r="O34" s="35">
        <v>1271</v>
      </c>
      <c r="P34" s="35">
        <v>1214</v>
      </c>
      <c r="Q34" s="35">
        <v>1135</v>
      </c>
      <c r="R34" s="35">
        <v>1566</v>
      </c>
      <c r="S34" s="36">
        <v>6601</v>
      </c>
      <c r="T34" s="24"/>
      <c r="U34" s="24"/>
    </row>
    <row r="35" spans="1:21" x14ac:dyDescent="0.45">
      <c r="A35" s="24"/>
      <c r="B35" s="24"/>
      <c r="C35" s="24"/>
      <c r="D35" s="24"/>
      <c r="E35" s="24"/>
      <c r="F35" s="24"/>
      <c r="G35" s="24"/>
      <c r="H35" s="24"/>
      <c r="I35" s="24"/>
      <c r="J35" s="24"/>
      <c r="K35" s="24"/>
      <c r="L35" s="24"/>
      <c r="M35" s="38" t="str">
        <v>C0014</v>
      </c>
      <c r="N35" s="39">
        <v>1362</v>
      </c>
      <c r="O35" s="39">
        <v>1363</v>
      </c>
      <c r="P35" s="39">
        <v>1152</v>
      </c>
      <c r="Q35" s="39">
        <v>777</v>
      </c>
      <c r="R35" s="39">
        <v>750</v>
      </c>
      <c r="S35" s="40">
        <v>5404</v>
      </c>
      <c r="T35" s="24"/>
      <c r="U35" s="24"/>
    </row>
    <row r="36" spans="1:21" x14ac:dyDescent="0.45">
      <c r="A36" s="24"/>
      <c r="B36" s="24"/>
      <c r="C36" s="24"/>
      <c r="D36" s="24"/>
      <c r="E36" s="24"/>
      <c r="F36" s="24"/>
      <c r="G36" s="24"/>
      <c r="H36" s="24"/>
      <c r="I36" s="24"/>
      <c r="J36" s="24"/>
      <c r="K36" s="24"/>
      <c r="L36" s="24"/>
      <c r="M36" s="24"/>
      <c r="N36" s="24"/>
      <c r="O36" s="24"/>
      <c r="P36" s="24"/>
      <c r="Q36" s="24"/>
      <c r="R36" s="24"/>
      <c r="S36" s="24"/>
      <c r="T36" s="24"/>
      <c r="U36" s="24"/>
    </row>
    <row r="37" spans="1:21" x14ac:dyDescent="0.45">
      <c r="A37" s="24"/>
      <c r="B37" s="24"/>
      <c r="C37" s="24"/>
      <c r="D37" s="24"/>
      <c r="E37" s="24"/>
      <c r="F37" s="24"/>
      <c r="G37" s="24"/>
      <c r="H37" s="24"/>
      <c r="I37" s="24"/>
      <c r="J37" s="24"/>
      <c r="K37" s="24"/>
      <c r="L37" s="24"/>
      <c r="M37" s="24"/>
      <c r="N37" s="24"/>
      <c r="O37" s="24"/>
      <c r="P37" s="24"/>
      <c r="Q37" s="24"/>
      <c r="R37" s="24"/>
      <c r="S37" s="24"/>
      <c r="T37" s="24"/>
      <c r="U37" s="24"/>
    </row>
  </sheetData>
  <mergeCells count="1">
    <mergeCell ref="A1:XFD1"/>
  </mergeCells>
  <conditionalFormatting sqref="N19:R35">
    <cfRule type="dataBar" priority="5">
      <dataBar>
        <cfvo type="num" val="0"/>
        <cfvo type="formula" val="MAX($N$19:$R$35)*2"/>
        <color theme="2"/>
      </dataBar>
      <extLst>
        <ext xmlns:x14="http://schemas.microsoft.com/office/spreadsheetml/2009/9/main" uri="{B025F937-C7B1-47D3-B67F-A62EFF666E3E}">
          <x14:id>{EFFD321F-984C-4132-B910-A5BFEBDAB71E}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FFD321F-984C-4132-B910-A5BFEBDAB71E}">
            <x14:dataBar minLength="0" maxLength="100" border="1" negativeBarBorderColorSameAsPositive="0">
              <x14:cfvo type="num">
                <xm:f>0</xm:f>
              </x14:cfvo>
              <x14:cfvo type="formula">
                <xm:f>MAX($N$19:$R$35)*2</xm:f>
              </x14:cfvo>
              <x14:borderColor rgb="FF638EC6"/>
              <x14:negativeFillColor rgb="FFFF0000"/>
              <x14:negativeBorderColor rgb="FFFF0000"/>
              <x14:axisColor rgb="FF000000"/>
            </x14:dataBar>
          </x14:cfRule>
          <xm:sqref>N19:R35</xm:sqref>
        </x14:conditionalFormatting>
        <x14:conditionalFormatting xmlns:xm="http://schemas.microsoft.com/office/excel/2006/main">
          <x14:cfRule type="expression" priority="1" id="{A599D59D-457A-4941-9AB8-1E9F0C9AA20D}">
            <xm:f>ISNUMBER(MATCH(N$17,Pivot!$A$66:$A$70,0))</xm:f>
            <x14:dxf>
              <fill>
                <patternFill>
                  <bgColor theme="3" tint="0.79998168889431442"/>
                </patternFill>
              </fill>
            </x14:dxf>
          </x14:cfRule>
          <xm:sqref>N17:R35</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FBFED-DDF8-4DDA-BCD9-DE61C442A9CF}">
  <dimension ref="A2:O111"/>
  <sheetViews>
    <sheetView topLeftCell="A48" workbookViewId="0">
      <selection activeCell="M51" sqref="M51"/>
    </sheetView>
  </sheetViews>
  <sheetFormatPr defaultRowHeight="14.25" x14ac:dyDescent="0.45"/>
  <cols>
    <col min="1" max="1" width="16.9296875" bestFit="1" customWidth="1"/>
    <col min="2" max="2" width="10.59765625" bestFit="1" customWidth="1"/>
    <col min="3" max="3" width="14" bestFit="1" customWidth="1"/>
    <col min="4" max="4" width="11.1328125" bestFit="1" customWidth="1"/>
    <col min="5" max="5" width="7.6640625" bestFit="1" customWidth="1"/>
    <col min="6" max="6" width="6.46484375" bestFit="1" customWidth="1"/>
    <col min="7" max="7" width="11.46484375" bestFit="1" customWidth="1"/>
    <col min="8" max="8" width="11.6640625" bestFit="1" customWidth="1"/>
    <col min="12" max="12" width="20.33203125" bestFit="1" customWidth="1"/>
    <col min="13" max="13" width="16.265625" bestFit="1" customWidth="1"/>
    <col min="14" max="14" width="5.1328125" bestFit="1" customWidth="1"/>
    <col min="15" max="16" width="11.46484375" bestFit="1" customWidth="1"/>
  </cols>
  <sheetData>
    <row r="2" spans="1:15" x14ac:dyDescent="0.45">
      <c r="L2" s="23" t="s">
        <v>1076</v>
      </c>
      <c r="M2" s="23" t="s">
        <v>1077</v>
      </c>
    </row>
    <row r="3" spans="1:15" x14ac:dyDescent="0.45">
      <c r="A3" t="s">
        <v>1042</v>
      </c>
      <c r="B3" t="s">
        <v>1043</v>
      </c>
      <c r="C3" t="s">
        <v>1044</v>
      </c>
      <c r="D3" t="s">
        <v>1045</v>
      </c>
      <c r="E3" t="s">
        <v>1046</v>
      </c>
      <c r="L3" s="23" t="s">
        <v>1075</v>
      </c>
      <c r="M3" t="s">
        <v>999</v>
      </c>
      <c r="N3" t="s">
        <v>998</v>
      </c>
      <c r="O3" t="s">
        <v>1047</v>
      </c>
    </row>
    <row r="4" spans="1:15" x14ac:dyDescent="0.45">
      <c r="A4" s="20">
        <v>1000</v>
      </c>
      <c r="B4" s="21">
        <v>96623</v>
      </c>
      <c r="C4" s="20">
        <v>89850</v>
      </c>
      <c r="D4" s="22">
        <v>3.8854000000000033</v>
      </c>
      <c r="E4" s="20">
        <v>307</v>
      </c>
      <c r="L4" s="25" t="s">
        <v>1002</v>
      </c>
      <c r="M4" s="29">
        <v>144</v>
      </c>
      <c r="N4" s="29">
        <v>132</v>
      </c>
      <c r="O4" s="29">
        <v>276</v>
      </c>
    </row>
    <row r="5" spans="1:15" x14ac:dyDescent="0.45">
      <c r="L5" s="25" t="s">
        <v>1001</v>
      </c>
      <c r="M5" s="29">
        <v>326</v>
      </c>
      <c r="N5" s="29">
        <v>63</v>
      </c>
      <c r="O5" s="29">
        <v>389</v>
      </c>
    </row>
    <row r="6" spans="1:15" x14ac:dyDescent="0.45">
      <c r="L6" s="25" t="s">
        <v>1000</v>
      </c>
      <c r="M6" s="29">
        <v>129</v>
      </c>
      <c r="N6" s="29">
        <v>206</v>
      </c>
      <c r="O6" s="29">
        <v>335</v>
      </c>
    </row>
    <row r="16" spans="1:15" x14ac:dyDescent="0.45">
      <c r="A16" t="s">
        <v>1042</v>
      </c>
      <c r="B16" t="s">
        <v>1043</v>
      </c>
      <c r="C16" t="s">
        <v>1044</v>
      </c>
      <c r="D16" t="s">
        <v>1045</v>
      </c>
      <c r="E16" t="s">
        <v>1046</v>
      </c>
    </row>
    <row r="17" spans="1:5" x14ac:dyDescent="0.45">
      <c r="A17" s="20">
        <v>189</v>
      </c>
      <c r="B17" s="21">
        <v>18415</v>
      </c>
      <c r="C17" s="20">
        <v>16834</v>
      </c>
      <c r="D17" s="22">
        <v>3.9227513227513247</v>
      </c>
      <c r="E17" s="20">
        <v>60</v>
      </c>
    </row>
    <row r="21" spans="1:5" x14ac:dyDescent="0.45">
      <c r="A21" s="23" t="s">
        <v>1060</v>
      </c>
      <c r="B21" t="s">
        <v>1042</v>
      </c>
    </row>
    <row r="22" spans="1:5" x14ac:dyDescent="0.45">
      <c r="A22" s="25" t="s">
        <v>1048</v>
      </c>
      <c r="B22" s="20">
        <v>16</v>
      </c>
    </row>
    <row r="23" spans="1:5" x14ac:dyDescent="0.45">
      <c r="A23" s="25" t="s">
        <v>1049</v>
      </c>
      <c r="B23" s="20">
        <v>14</v>
      </c>
    </row>
    <row r="24" spans="1:5" x14ac:dyDescent="0.45">
      <c r="A24" s="25" t="s">
        <v>1050</v>
      </c>
      <c r="B24" s="20">
        <v>26</v>
      </c>
    </row>
    <row r="25" spans="1:5" x14ac:dyDescent="0.45">
      <c r="A25" s="25" t="s">
        <v>1051</v>
      </c>
      <c r="B25" s="20">
        <v>29</v>
      </c>
    </row>
    <row r="26" spans="1:5" x14ac:dyDescent="0.45">
      <c r="A26" s="25" t="s">
        <v>1052</v>
      </c>
      <c r="B26" s="20">
        <v>17</v>
      </c>
    </row>
    <row r="27" spans="1:5" x14ac:dyDescent="0.45">
      <c r="A27" s="25" t="s">
        <v>1053</v>
      </c>
      <c r="B27" s="20">
        <v>15</v>
      </c>
    </row>
    <row r="28" spans="1:5" x14ac:dyDescent="0.45">
      <c r="A28" s="25" t="s">
        <v>1054</v>
      </c>
      <c r="B28" s="20">
        <v>15</v>
      </c>
    </row>
    <row r="29" spans="1:5" x14ac:dyDescent="0.45">
      <c r="A29" s="25" t="s">
        <v>1055</v>
      </c>
      <c r="B29" s="20">
        <v>7</v>
      </c>
    </row>
    <row r="30" spans="1:5" x14ac:dyDescent="0.45">
      <c r="A30" s="25" t="s">
        <v>1056</v>
      </c>
      <c r="B30" s="20">
        <v>11</v>
      </c>
    </row>
    <row r="31" spans="1:5" x14ac:dyDescent="0.45">
      <c r="A31" s="25" t="s">
        <v>1057</v>
      </c>
      <c r="B31" s="20">
        <v>24</v>
      </c>
    </row>
    <row r="32" spans="1:5" x14ac:dyDescent="0.45">
      <c r="A32" s="25" t="s">
        <v>1058</v>
      </c>
      <c r="B32" s="20">
        <v>9</v>
      </c>
    </row>
    <row r="33" spans="1:2" x14ac:dyDescent="0.45">
      <c r="A33" s="25" t="s">
        <v>1059</v>
      </c>
      <c r="B33" s="20">
        <v>6</v>
      </c>
    </row>
    <row r="34" spans="1:2" x14ac:dyDescent="0.45">
      <c r="A34" s="25" t="s">
        <v>1047</v>
      </c>
      <c r="B34" s="20">
        <v>189</v>
      </c>
    </row>
    <row r="39" spans="1:2" x14ac:dyDescent="0.45">
      <c r="A39" s="23" t="s">
        <v>1060</v>
      </c>
      <c r="B39" t="s">
        <v>1042</v>
      </c>
    </row>
    <row r="40" spans="1:2" x14ac:dyDescent="0.45">
      <c r="A40" s="25" t="s">
        <v>1065</v>
      </c>
      <c r="B40" s="20">
        <v>36</v>
      </c>
    </row>
    <row r="41" spans="1:2" x14ac:dyDescent="0.45">
      <c r="A41" s="25" t="s">
        <v>1063</v>
      </c>
      <c r="B41" s="20">
        <v>30</v>
      </c>
    </row>
    <row r="42" spans="1:2" x14ac:dyDescent="0.45">
      <c r="A42" s="25" t="s">
        <v>1067</v>
      </c>
      <c r="B42" s="20">
        <v>13</v>
      </c>
    </row>
    <row r="43" spans="1:2" x14ac:dyDescent="0.45">
      <c r="A43" s="25" t="s">
        <v>1068</v>
      </c>
      <c r="B43" s="20">
        <v>23</v>
      </c>
    </row>
    <row r="44" spans="1:2" x14ac:dyDescent="0.45">
      <c r="A44" s="25" t="s">
        <v>1066</v>
      </c>
      <c r="B44" s="20">
        <v>23</v>
      </c>
    </row>
    <row r="45" spans="1:2" x14ac:dyDescent="0.45">
      <c r="A45" s="25" t="s">
        <v>1062</v>
      </c>
      <c r="B45" s="20">
        <v>24</v>
      </c>
    </row>
    <row r="46" spans="1:2" x14ac:dyDescent="0.45">
      <c r="A46" s="25" t="s">
        <v>1064</v>
      </c>
      <c r="B46" s="20">
        <v>40</v>
      </c>
    </row>
    <row r="47" spans="1:2" x14ac:dyDescent="0.45">
      <c r="A47" s="25" t="s">
        <v>1047</v>
      </c>
      <c r="B47" s="20">
        <v>189</v>
      </c>
    </row>
    <row r="52" spans="1:11" x14ac:dyDescent="0.45">
      <c r="F52" t="s">
        <v>1069</v>
      </c>
    </row>
    <row r="53" spans="1:11" x14ac:dyDescent="0.45">
      <c r="A53" s="23" t="s">
        <v>3</v>
      </c>
      <c r="B53" t="s">
        <v>1042</v>
      </c>
      <c r="C53" t="s">
        <v>1043</v>
      </c>
      <c r="F53" s="14" t="s">
        <v>1074</v>
      </c>
      <c r="G53" s="14" t="s">
        <v>1070</v>
      </c>
      <c r="H53" s="14" t="s">
        <v>1043</v>
      </c>
      <c r="I53" s="14" t="s">
        <v>1071</v>
      </c>
      <c r="J53" s="14" t="s">
        <v>1072</v>
      </c>
      <c r="K53" s="14" t="s">
        <v>1073</v>
      </c>
    </row>
    <row r="54" spans="1:11" x14ac:dyDescent="0.45">
      <c r="A54" s="25" t="s">
        <v>11</v>
      </c>
      <c r="B54" s="20">
        <v>189</v>
      </c>
      <c r="C54" s="21">
        <v>18415</v>
      </c>
      <c r="F54" t="str" cm="1">
        <f t="array" ref="F54:H58">A54:C58</f>
        <v>R01</v>
      </c>
      <c r="G54">
        <v>189</v>
      </c>
      <c r="H54" s="26">
        <v>18415</v>
      </c>
      <c r="I54" s="20">
        <f>IF(ISNUMBER(MATCH(F54, $K$54:$K$58, 0)), G54, NA())</f>
        <v>189</v>
      </c>
      <c r="J54" s="28">
        <f>IF(ISNUMBER(MATCH(F54, $K$54:$K$58, 0)), H54, NA())</f>
        <v>18415</v>
      </c>
      <c r="K54" t="str">
        <f>A66</f>
        <v>R01</v>
      </c>
    </row>
    <row r="55" spans="1:11" x14ac:dyDescent="0.45">
      <c r="A55" s="25" t="s">
        <v>9</v>
      </c>
      <c r="B55" s="20">
        <v>218</v>
      </c>
      <c r="C55" s="21">
        <v>20581</v>
      </c>
      <c r="F55" t="str">
        <v>R02</v>
      </c>
      <c r="G55">
        <v>218</v>
      </c>
      <c r="H55" s="26">
        <v>20581</v>
      </c>
      <c r="I55" s="20" t="e">
        <f t="shared" ref="I55:I58" si="0">IF(ISNUMBER(MATCH(F55, $K$54:$K$58, 0)), G55, NA())</f>
        <v>#N/A</v>
      </c>
      <c r="J55" s="28" t="e">
        <f t="shared" ref="J55:J58" si="1">IF(ISNUMBER(MATCH(F55, $K$54:$K$58, 0)), H55, NA())</f>
        <v>#N/A</v>
      </c>
      <c r="K55">
        <f t="shared" ref="K55:K58" si="2">A67</f>
        <v>0</v>
      </c>
    </row>
    <row r="56" spans="1:11" x14ac:dyDescent="0.45">
      <c r="A56" s="25" t="s">
        <v>6</v>
      </c>
      <c r="B56" s="20">
        <v>207</v>
      </c>
      <c r="C56" s="21">
        <v>20872</v>
      </c>
      <c r="F56" t="str">
        <v>R03</v>
      </c>
      <c r="G56">
        <v>207</v>
      </c>
      <c r="H56" s="26">
        <v>20872</v>
      </c>
      <c r="I56" s="20" t="e">
        <f t="shared" si="0"/>
        <v>#N/A</v>
      </c>
      <c r="J56" s="28" t="e">
        <f t="shared" si="1"/>
        <v>#N/A</v>
      </c>
      <c r="K56">
        <f t="shared" si="2"/>
        <v>0</v>
      </c>
    </row>
    <row r="57" spans="1:11" x14ac:dyDescent="0.45">
      <c r="A57" s="25" t="s">
        <v>13</v>
      </c>
      <c r="B57" s="20">
        <v>186</v>
      </c>
      <c r="C57" s="21">
        <v>16651</v>
      </c>
      <c r="F57" t="str">
        <v>R04</v>
      </c>
      <c r="G57">
        <v>186</v>
      </c>
      <c r="H57" s="26">
        <v>16651</v>
      </c>
      <c r="I57" s="20" t="e">
        <f t="shared" si="0"/>
        <v>#N/A</v>
      </c>
      <c r="J57" s="28" t="e">
        <f t="shared" si="1"/>
        <v>#N/A</v>
      </c>
      <c r="K57">
        <f t="shared" si="2"/>
        <v>0</v>
      </c>
    </row>
    <row r="58" spans="1:11" x14ac:dyDescent="0.45">
      <c r="A58" s="25" t="s">
        <v>10</v>
      </c>
      <c r="B58" s="20">
        <v>200</v>
      </c>
      <c r="C58" s="21">
        <v>20104</v>
      </c>
      <c r="F58" t="str">
        <v>R05</v>
      </c>
      <c r="G58">
        <v>200</v>
      </c>
      <c r="H58" s="26">
        <v>20104</v>
      </c>
      <c r="I58" s="20" t="e">
        <f t="shared" si="0"/>
        <v>#N/A</v>
      </c>
      <c r="J58" s="28" t="e">
        <f t="shared" si="1"/>
        <v>#N/A</v>
      </c>
      <c r="K58">
        <f t="shared" si="2"/>
        <v>0</v>
      </c>
    </row>
    <row r="59" spans="1:11" x14ac:dyDescent="0.45">
      <c r="F59" s="27"/>
      <c r="G59" s="27"/>
      <c r="H59" s="26"/>
    </row>
    <row r="65" spans="1:2" x14ac:dyDescent="0.45">
      <c r="A65" s="23" t="s">
        <v>3</v>
      </c>
    </row>
    <row r="66" spans="1:2" x14ac:dyDescent="0.45">
      <c r="A66" s="25" t="s">
        <v>11</v>
      </c>
    </row>
    <row r="80" spans="1:2" x14ac:dyDescent="0.45">
      <c r="A80" s="23" t="s">
        <v>1075</v>
      </c>
      <c r="B80" t="s">
        <v>1042</v>
      </c>
    </row>
    <row r="81" spans="1:7" x14ac:dyDescent="0.45">
      <c r="A81" s="25">
        <v>0</v>
      </c>
      <c r="B81" s="20">
        <v>1</v>
      </c>
    </row>
    <row r="82" spans="1:7" x14ac:dyDescent="0.45">
      <c r="A82" s="25">
        <v>1</v>
      </c>
      <c r="B82" s="20">
        <v>8</v>
      </c>
    </row>
    <row r="83" spans="1:7" x14ac:dyDescent="0.45">
      <c r="A83" s="25">
        <v>2</v>
      </c>
      <c r="B83" s="20">
        <v>59</v>
      </c>
    </row>
    <row r="84" spans="1:7" x14ac:dyDescent="0.45">
      <c r="A84" s="25">
        <v>3</v>
      </c>
      <c r="B84" s="20">
        <v>197</v>
      </c>
    </row>
    <row r="85" spans="1:7" x14ac:dyDescent="0.45">
      <c r="A85" s="25">
        <v>4</v>
      </c>
      <c r="B85" s="20">
        <v>428</v>
      </c>
    </row>
    <row r="86" spans="1:7" x14ac:dyDescent="0.45">
      <c r="A86" s="25">
        <v>5</v>
      </c>
      <c r="B86" s="20">
        <v>307</v>
      </c>
    </row>
    <row r="87" spans="1:7" x14ac:dyDescent="0.45">
      <c r="A87" s="25" t="s">
        <v>1047</v>
      </c>
      <c r="B87" s="20">
        <v>1000</v>
      </c>
    </row>
    <row r="92" spans="1:7" x14ac:dyDescent="0.45">
      <c r="A92" s="23" t="s">
        <v>1043</v>
      </c>
      <c r="B92" s="23" t="s">
        <v>1077</v>
      </c>
    </row>
    <row r="93" spans="1:7" x14ac:dyDescent="0.45">
      <c r="A93" s="23" t="s">
        <v>1075</v>
      </c>
      <c r="B93" t="s">
        <v>11</v>
      </c>
      <c r="C93" t="s">
        <v>9</v>
      </c>
      <c r="D93" t="s">
        <v>6</v>
      </c>
      <c r="E93" t="s">
        <v>13</v>
      </c>
      <c r="F93" t="s">
        <v>10</v>
      </c>
      <c r="G93" t="s">
        <v>1047</v>
      </c>
    </row>
    <row r="94" spans="1:7" x14ac:dyDescent="0.45">
      <c r="A94" s="25" t="s">
        <v>1002</v>
      </c>
      <c r="B94" s="29"/>
      <c r="C94" s="29"/>
      <c r="D94" s="29"/>
      <c r="E94" s="29"/>
      <c r="F94" s="29"/>
      <c r="G94" s="29"/>
    </row>
    <row r="95" spans="1:7" x14ac:dyDescent="0.45">
      <c r="A95" s="30" t="s">
        <v>20</v>
      </c>
      <c r="B95" s="21">
        <v>891</v>
      </c>
      <c r="C95" s="21">
        <v>1332</v>
      </c>
      <c r="D95" s="21">
        <v>1282</v>
      </c>
      <c r="E95" s="21">
        <v>739</v>
      </c>
      <c r="F95" s="21">
        <v>560</v>
      </c>
      <c r="G95" s="21">
        <v>4804</v>
      </c>
    </row>
    <row r="96" spans="1:7" x14ac:dyDescent="0.45">
      <c r="A96" s="30" t="s">
        <v>12</v>
      </c>
      <c r="B96" s="21">
        <v>1991</v>
      </c>
      <c r="C96" s="21">
        <v>1886</v>
      </c>
      <c r="D96" s="21">
        <v>1206</v>
      </c>
      <c r="E96" s="21">
        <v>884</v>
      </c>
      <c r="F96" s="21">
        <v>1722</v>
      </c>
      <c r="G96" s="21">
        <v>7689</v>
      </c>
    </row>
    <row r="97" spans="1:7" x14ac:dyDescent="0.45">
      <c r="A97" s="30" t="s">
        <v>8</v>
      </c>
      <c r="B97" s="21">
        <v>1163</v>
      </c>
      <c r="C97" s="21">
        <v>1180</v>
      </c>
      <c r="D97" s="21">
        <v>1616</v>
      </c>
      <c r="E97" s="21">
        <v>1043</v>
      </c>
      <c r="F97" s="21">
        <v>1747</v>
      </c>
      <c r="G97" s="21">
        <v>6749</v>
      </c>
    </row>
    <row r="98" spans="1:7" x14ac:dyDescent="0.45">
      <c r="A98" s="30" t="s">
        <v>16</v>
      </c>
      <c r="B98" s="21">
        <v>1438</v>
      </c>
      <c r="C98" s="21">
        <v>1616</v>
      </c>
      <c r="D98" s="21">
        <v>866</v>
      </c>
      <c r="E98" s="21">
        <v>829</v>
      </c>
      <c r="F98" s="21">
        <v>2070</v>
      </c>
      <c r="G98" s="21">
        <v>6819</v>
      </c>
    </row>
    <row r="99" spans="1:7" x14ac:dyDescent="0.45">
      <c r="A99" s="25" t="s">
        <v>1001</v>
      </c>
      <c r="B99" s="29"/>
      <c r="C99" s="29"/>
      <c r="D99" s="29"/>
      <c r="E99" s="29"/>
      <c r="F99" s="29"/>
      <c r="G99" s="29"/>
    </row>
    <row r="100" spans="1:7" x14ac:dyDescent="0.45">
      <c r="A100" s="30" t="s">
        <v>24</v>
      </c>
      <c r="B100" s="21">
        <v>1233</v>
      </c>
      <c r="C100" s="21">
        <v>223</v>
      </c>
      <c r="D100" s="21">
        <v>1680</v>
      </c>
      <c r="E100" s="21">
        <v>990</v>
      </c>
      <c r="F100" s="21">
        <v>1508</v>
      </c>
      <c r="G100" s="21">
        <v>5634</v>
      </c>
    </row>
    <row r="101" spans="1:7" x14ac:dyDescent="0.45">
      <c r="A101" s="30" t="s">
        <v>15</v>
      </c>
      <c r="B101" s="21">
        <v>1598</v>
      </c>
      <c r="C101" s="21">
        <v>1907</v>
      </c>
      <c r="D101" s="21">
        <v>869</v>
      </c>
      <c r="E101" s="21">
        <v>1426</v>
      </c>
      <c r="F101" s="21">
        <v>1416</v>
      </c>
      <c r="G101" s="21">
        <v>7216</v>
      </c>
    </row>
    <row r="102" spans="1:7" x14ac:dyDescent="0.45">
      <c r="A102" s="30" t="s">
        <v>5</v>
      </c>
      <c r="B102" s="21">
        <v>900</v>
      </c>
      <c r="C102" s="21">
        <v>1016</v>
      </c>
      <c r="D102" s="21">
        <v>960</v>
      </c>
      <c r="E102" s="21">
        <v>940</v>
      </c>
      <c r="F102" s="21">
        <v>1193</v>
      </c>
      <c r="G102" s="21">
        <v>5009</v>
      </c>
    </row>
    <row r="103" spans="1:7" x14ac:dyDescent="0.45">
      <c r="A103" s="30" t="s">
        <v>18</v>
      </c>
      <c r="B103" s="21">
        <v>900</v>
      </c>
      <c r="C103" s="21">
        <v>1470</v>
      </c>
      <c r="D103" s="21">
        <v>1617</v>
      </c>
      <c r="E103" s="21">
        <v>1314</v>
      </c>
      <c r="F103" s="21">
        <v>941</v>
      </c>
      <c r="G103" s="21">
        <v>6242</v>
      </c>
    </row>
    <row r="104" spans="1:7" x14ac:dyDescent="0.45">
      <c r="A104" s="30" t="s">
        <v>14</v>
      </c>
      <c r="B104" s="21">
        <v>1255</v>
      </c>
      <c r="C104" s="21">
        <v>516</v>
      </c>
      <c r="D104" s="21">
        <v>1874</v>
      </c>
      <c r="E104" s="21">
        <v>1863</v>
      </c>
      <c r="F104" s="21">
        <v>1722</v>
      </c>
      <c r="G104" s="21">
        <v>7230</v>
      </c>
    </row>
    <row r="105" spans="1:7" x14ac:dyDescent="0.45">
      <c r="A105" s="30" t="s">
        <v>19</v>
      </c>
      <c r="B105" s="21">
        <v>1138</v>
      </c>
      <c r="C105" s="21">
        <v>1898</v>
      </c>
      <c r="D105" s="21">
        <v>1482</v>
      </c>
      <c r="E105" s="21">
        <v>846</v>
      </c>
      <c r="F105" s="21">
        <v>1154</v>
      </c>
      <c r="G105" s="21">
        <v>6518</v>
      </c>
    </row>
    <row r="106" spans="1:7" x14ac:dyDescent="0.45">
      <c r="A106" s="25" t="s">
        <v>1000</v>
      </c>
      <c r="B106" s="29"/>
      <c r="C106" s="29"/>
      <c r="D106" s="29"/>
      <c r="E106" s="29"/>
      <c r="F106" s="29"/>
      <c r="G106" s="29"/>
    </row>
    <row r="107" spans="1:7" x14ac:dyDescent="0.45">
      <c r="A107" s="30" t="s">
        <v>17</v>
      </c>
      <c r="B107" s="21">
        <v>1655</v>
      </c>
      <c r="C107" s="21">
        <v>805</v>
      </c>
      <c r="D107" s="21">
        <v>2263</v>
      </c>
      <c r="E107" s="21">
        <v>987</v>
      </c>
      <c r="F107" s="21">
        <v>1075</v>
      </c>
      <c r="G107" s="21">
        <v>6785</v>
      </c>
    </row>
    <row r="108" spans="1:7" x14ac:dyDescent="0.45">
      <c r="A108" s="30" t="s">
        <v>23</v>
      </c>
      <c r="B108" s="21">
        <v>1104</v>
      </c>
      <c r="C108" s="21">
        <v>2280</v>
      </c>
      <c r="D108" s="21">
        <v>1445</v>
      </c>
      <c r="E108" s="21">
        <v>1722</v>
      </c>
      <c r="F108" s="21">
        <v>1196</v>
      </c>
      <c r="G108" s="21">
        <v>7747</v>
      </c>
    </row>
    <row r="109" spans="1:7" x14ac:dyDescent="0.45">
      <c r="A109" s="30" t="s">
        <v>7</v>
      </c>
      <c r="B109" s="21">
        <v>372</v>
      </c>
      <c r="C109" s="21">
        <v>1818</v>
      </c>
      <c r="D109" s="21">
        <v>1346</v>
      </c>
      <c r="E109" s="21">
        <v>1156</v>
      </c>
      <c r="F109" s="21">
        <v>1484</v>
      </c>
      <c r="G109" s="21">
        <v>6176</v>
      </c>
    </row>
    <row r="110" spans="1:7" x14ac:dyDescent="0.45">
      <c r="A110" s="30" t="s">
        <v>22</v>
      </c>
      <c r="B110" s="21">
        <v>1415</v>
      </c>
      <c r="C110" s="21">
        <v>1271</v>
      </c>
      <c r="D110" s="21">
        <v>1214</v>
      </c>
      <c r="E110" s="21">
        <v>1135</v>
      </c>
      <c r="F110" s="21">
        <v>1566</v>
      </c>
      <c r="G110" s="21">
        <v>6601</v>
      </c>
    </row>
    <row r="111" spans="1:7" x14ac:dyDescent="0.45">
      <c r="A111" s="30" t="s">
        <v>21</v>
      </c>
      <c r="B111" s="21">
        <v>1362</v>
      </c>
      <c r="C111" s="21">
        <v>1363</v>
      </c>
      <c r="D111" s="21">
        <v>1152</v>
      </c>
      <c r="E111" s="21">
        <v>777</v>
      </c>
      <c r="F111" s="21">
        <v>750</v>
      </c>
      <c r="G111" s="21">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Report</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Ahsan Habib Sunny</cp:lastModifiedBy>
  <dcterms:created xsi:type="dcterms:W3CDTF">2021-03-14T20:21:32Z</dcterms:created>
  <dcterms:modified xsi:type="dcterms:W3CDTF">2026-09-15T19:42:54Z</dcterms:modified>
</cp:coreProperties>
</file>